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_kage\Nextcloud2\R_Projekte\RBioGraceII\Literatur\"/>
    </mc:Choice>
  </mc:AlternateContent>
  <xr:revisionPtr revIDLastSave="0" documentId="8_{8287B6CE-57A9-4591-8244-DC520A80B346}" xr6:coauthVersionLast="36" xr6:coauthVersionMax="36" xr10:uidLastSave="{00000000-0000-0000-0000-000000000000}"/>
  <bookViews>
    <workbookView xWindow="0" yWindow="0" windowWidth="28800" windowHeight="12225" xr2:uid="{D31B77D9-AF90-406E-BEF4-C7442FEB7B6E}"/>
  </bookViews>
  <sheets>
    <sheet name="N-Fertilizer-Emissions" sheetId="1" r:id="rId1"/>
  </sheets>
  <definedNames>
    <definedName name="_xlnm._FilterDatabase" localSheetId="0" hidden="1">'N-Fertilizer-Emissions'!$B$1:$F$1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2" i="1"/>
  <c r="F12" i="1" s="1"/>
  <c r="B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<sst xmlns="http://schemas.openxmlformats.org/spreadsheetml/2006/main" count="16" uniqueCount="16">
  <si>
    <t xml:space="preserve"> production</t>
  </si>
  <si>
    <t>acidification</t>
  </si>
  <si>
    <t xml:space="preserve">CO2- captured </t>
  </si>
  <si>
    <t>Transport</t>
  </si>
  <si>
    <t>Total emissions</t>
  </si>
  <si>
    <t>Ammonium nitrate (AN)</t>
  </si>
  <si>
    <t>Ammonium sulphate (AS)</t>
  </si>
  <si>
    <t>Ammonium nitrate sulphate (ANS)</t>
  </si>
  <si>
    <t>Anhydrous ammonia</t>
  </si>
  <si>
    <t>Calcium ammonium nitrate (CAN)</t>
  </si>
  <si>
    <t>Calcium nitrate (CN)</t>
  </si>
  <si>
    <t>Urea</t>
  </si>
  <si>
    <t>Urea ammonium nitrate (UAN)</t>
  </si>
  <si>
    <t>Mix- Raps</t>
  </si>
  <si>
    <t>Mix- JRC- Neu</t>
  </si>
  <si>
    <t>Red- default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</si>
</sst>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'N-Fertilizer-Emissions'!$B$2</c:f>
              <c:strCache>
                <c:ptCount val="1"/>
                <c:pt idx="0">
                  <c:v> 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'N-Fertilizer-Emissions'!$A$3:$A$13</c:f>
              <c:strCache>
                <c:ptCount val="11"/>
                <c:pt idx="0">
                  <c:v>Ammonium nitrate (AN)</c:v>
                </c:pt>
                <c:pt idx="1">
                  <c:v>Ammonium sulphate (AS)</c:v>
                </c:pt>
                <c:pt idx="2">
                  <c:v>Ammonium nitrate sulphate (ANS)</c:v>
                </c:pt>
                <c:pt idx="3">
                  <c:v>Anhydrous ammonia</c:v>
                </c:pt>
                <c:pt idx="4">
                  <c:v>Calcium ammonium nitrate (CAN)</c:v>
                </c:pt>
                <c:pt idx="5">
                  <c:v>Calcium nitrate (CN)</c:v>
                </c:pt>
                <c:pt idx="6">
                  <c:v>Urea</c:v>
                </c:pt>
                <c:pt idx="7">
                  <c:v>Urea ammonium nitrate (UAN)</c:v>
                </c:pt>
                <c:pt idx="8">
                  <c:v>Mix- Raps</c:v>
                </c:pt>
                <c:pt idx="9">
                  <c:v>Mix- JRC- Neu</c:v>
                </c:pt>
                <c:pt idx="10">
                  <c:v>Red- default value</c:v>
                </c:pt>
              </c:strCache>
            </c:strRef>
          </c:cat>
          <c:val>
            <c:numRef>
              <c:f>'N-Fertilizer-Emissions'!$B$3:$B$13</c:f>
              <c:numCache>
                <c:formatCode>0</c:formatCode>
                <c:ptCount val="11"/>
                <c:pt idx="0" formatCode="General">
                  <c:v>3319</c:v>
                </c:pt>
                <c:pt idx="1">
                  <c:v>2666.666666666667</c:v>
                </c:pt>
                <c:pt idx="2">
                  <c:v>3076.9230769230771</c:v>
                </c:pt>
                <c:pt idx="3">
                  <c:v>2874.9999999999995</c:v>
                </c:pt>
                <c:pt idx="4">
                  <c:v>3518.5185185185182</c:v>
                </c:pt>
                <c:pt idx="5">
                  <c:v>4129.0322580645161</c:v>
                </c:pt>
                <c:pt idx="6" formatCode="General">
                  <c:v>1909</c:v>
                </c:pt>
                <c:pt idx="7" formatCode="General">
                  <c:v>2600</c:v>
                </c:pt>
                <c:pt idx="8">
                  <c:v>3611.0211347171339</c:v>
                </c:pt>
                <c:pt idx="9">
                  <c:v>2968.0715999999998</c:v>
                </c:pt>
                <c:pt idx="10">
                  <c:v>3176.52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0-4AFA-830E-F6550F8C25B4}"/>
            </c:ext>
          </c:extLst>
        </c:ser>
        <c:ser>
          <c:idx val="1"/>
          <c:order val="1"/>
          <c:tx>
            <c:strRef>
              <c:f>'N-Fertilizer-Emissions'!$C$2</c:f>
              <c:strCache>
                <c:ptCount val="1"/>
                <c:pt idx="0">
                  <c:v>acidification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'N-Fertilizer-Emissions'!$A$3:$A$13</c:f>
              <c:strCache>
                <c:ptCount val="11"/>
                <c:pt idx="0">
                  <c:v>Ammonium nitrate (AN)</c:v>
                </c:pt>
                <c:pt idx="1">
                  <c:v>Ammonium sulphate (AS)</c:v>
                </c:pt>
                <c:pt idx="2">
                  <c:v>Ammonium nitrate sulphate (ANS)</c:v>
                </c:pt>
                <c:pt idx="3">
                  <c:v>Anhydrous ammonia</c:v>
                </c:pt>
                <c:pt idx="4">
                  <c:v>Calcium ammonium nitrate (CAN)</c:v>
                </c:pt>
                <c:pt idx="5">
                  <c:v>Calcium nitrate (CN)</c:v>
                </c:pt>
                <c:pt idx="6">
                  <c:v>Urea</c:v>
                </c:pt>
                <c:pt idx="7">
                  <c:v>Urea ammonium nitrate (UAN)</c:v>
                </c:pt>
                <c:pt idx="8">
                  <c:v>Mix- Raps</c:v>
                </c:pt>
                <c:pt idx="9">
                  <c:v>Mix- JRC- Neu</c:v>
                </c:pt>
                <c:pt idx="10">
                  <c:v>Red- default value</c:v>
                </c:pt>
              </c:strCache>
            </c:strRef>
          </c:cat>
          <c:val>
            <c:numRef>
              <c:f>'N-Fertilizer-Emissions'!$C$3:$C$13</c:f>
              <c:numCache>
                <c:formatCode>0</c:formatCode>
                <c:ptCount val="11"/>
                <c:pt idx="0">
                  <c:v>385.71428571428567</c:v>
                </c:pt>
                <c:pt idx="1">
                  <c:v>1157.1428571428571</c:v>
                </c:pt>
                <c:pt idx="2">
                  <c:v>771.42857142857133</c:v>
                </c:pt>
                <c:pt idx="4">
                  <c:v>231.42857142857142</c:v>
                </c:pt>
                <c:pt idx="5">
                  <c:v>385.71428571428567</c:v>
                </c:pt>
                <c:pt idx="6">
                  <c:v>385.71428571428567</c:v>
                </c:pt>
                <c:pt idx="7">
                  <c:v>385.71428571428567</c:v>
                </c:pt>
                <c:pt idx="8">
                  <c:v>385.71428571428567</c:v>
                </c:pt>
                <c:pt idx="9">
                  <c:v>385.71428571428567</c:v>
                </c:pt>
                <c:pt idx="10">
                  <c:v>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0-4AFA-830E-F6550F8C25B4}"/>
            </c:ext>
          </c:extLst>
        </c:ser>
        <c:ser>
          <c:idx val="2"/>
          <c:order val="2"/>
          <c:tx>
            <c:strRef>
              <c:f>'N-Fertilizer-Emissions'!$D$2</c:f>
              <c:strCache>
                <c:ptCount val="1"/>
                <c:pt idx="0">
                  <c:v>CO2- captured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'N-Fertilizer-Emissions'!$A$3:$A$13</c:f>
              <c:strCache>
                <c:ptCount val="11"/>
                <c:pt idx="0">
                  <c:v>Ammonium nitrate (AN)</c:v>
                </c:pt>
                <c:pt idx="1">
                  <c:v>Ammonium sulphate (AS)</c:v>
                </c:pt>
                <c:pt idx="2">
                  <c:v>Ammonium nitrate sulphate (ANS)</c:v>
                </c:pt>
                <c:pt idx="3">
                  <c:v>Anhydrous ammonia</c:v>
                </c:pt>
                <c:pt idx="4">
                  <c:v>Calcium ammonium nitrate (CAN)</c:v>
                </c:pt>
                <c:pt idx="5">
                  <c:v>Calcium nitrate (CN)</c:v>
                </c:pt>
                <c:pt idx="6">
                  <c:v>Urea</c:v>
                </c:pt>
                <c:pt idx="7">
                  <c:v>Urea ammonium nitrate (UAN)</c:v>
                </c:pt>
                <c:pt idx="8">
                  <c:v>Mix- Raps</c:v>
                </c:pt>
                <c:pt idx="9">
                  <c:v>Mix- JRC- Neu</c:v>
                </c:pt>
                <c:pt idx="10">
                  <c:v>Red- default value</c:v>
                </c:pt>
              </c:strCache>
            </c:strRef>
          </c:cat>
          <c:val>
            <c:numRef>
              <c:f>'N-Fertilizer-Emissions'!$D$3:$D$13</c:f>
              <c:numCache>
                <c:formatCode>General</c:formatCode>
                <c:ptCount val="11"/>
                <c:pt idx="6">
                  <c:v>1593</c:v>
                </c:pt>
                <c:pt idx="9" formatCode="0">
                  <c:v>573.48</c:v>
                </c:pt>
                <c:pt idx="10" formatCode="0">
                  <c:v>573.48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30-4AFA-830E-F6550F8C25B4}"/>
            </c:ext>
          </c:extLst>
        </c:ser>
        <c:ser>
          <c:idx val="3"/>
          <c:order val="3"/>
          <c:tx>
            <c:strRef>
              <c:f>'N-Fertilizer-Emissions'!$E$2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'N-Fertilizer-Emissions'!$A$3:$A$13</c:f>
              <c:strCache>
                <c:ptCount val="11"/>
                <c:pt idx="0">
                  <c:v>Ammonium nitrate (AN)</c:v>
                </c:pt>
                <c:pt idx="1">
                  <c:v>Ammonium sulphate (AS)</c:v>
                </c:pt>
                <c:pt idx="2">
                  <c:v>Ammonium nitrate sulphate (ANS)</c:v>
                </c:pt>
                <c:pt idx="3">
                  <c:v>Anhydrous ammonia</c:v>
                </c:pt>
                <c:pt idx="4">
                  <c:v>Calcium ammonium nitrate (CAN)</c:v>
                </c:pt>
                <c:pt idx="5">
                  <c:v>Calcium nitrate (CN)</c:v>
                </c:pt>
                <c:pt idx="6">
                  <c:v>Urea</c:v>
                </c:pt>
                <c:pt idx="7">
                  <c:v>Urea ammonium nitrate (UAN)</c:v>
                </c:pt>
                <c:pt idx="8">
                  <c:v>Mix- Raps</c:v>
                </c:pt>
                <c:pt idx="9">
                  <c:v>Mix- JRC- Neu</c:v>
                </c:pt>
                <c:pt idx="10">
                  <c:v>Red- default value</c:v>
                </c:pt>
              </c:strCache>
            </c:strRef>
          </c:cat>
          <c:val>
            <c:numRef>
              <c:f>'N-Fertilizer-Emissions'!$E$3:$E$13</c:f>
              <c:numCache>
                <c:formatCode>General</c:formatCode>
                <c:ptCount val="11"/>
                <c:pt idx="9">
                  <c:v>24</c:v>
                </c:pt>
                <c:pt idx="1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30-4AFA-830E-F6550F8C25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23158320"/>
        <c:axId val="760495040"/>
      </c:barChart>
      <c:catAx>
        <c:axId val="82315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0495040"/>
        <c:crosses val="autoZero"/>
        <c:auto val="1"/>
        <c:lblAlgn val="ctr"/>
        <c:lblOffset val="100"/>
        <c:noMultiLvlLbl val="0"/>
      </c:catAx>
      <c:valAx>
        <c:axId val="76049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2315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0</xdr:row>
      <xdr:rowOff>114300</xdr:rowOff>
    </xdr:from>
    <xdr:to>
      <xdr:col>16</xdr:col>
      <xdr:colOff>45720</xdr:colOff>
      <xdr:row>21</xdr:row>
      <xdr:rowOff>68580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3FFF520-22E7-4951-AA87-1A382D267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A684-89C9-475A-8865-5A5C767C7E2F}">
  <dimension ref="A2:G39"/>
  <sheetViews>
    <sheetView tabSelected="1" workbookViewId="0">
      <selection activeCell="C7" sqref="C7"/>
    </sheetView>
  </sheetViews>
  <sheetFormatPr baseColWidth="10" defaultRowHeight="15" x14ac:dyDescent="0.25"/>
  <cols>
    <col min="1" max="2" width="29.42578125" customWidth="1"/>
    <col min="3" max="3" width="16" customWidth="1"/>
    <col min="5" max="5" width="16.7109375" bestFit="1" customWidth="1"/>
  </cols>
  <sheetData>
    <row r="2" spans="1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 t="s">
        <v>5</v>
      </c>
      <c r="B3">
        <v>3319</v>
      </c>
      <c r="C3" s="1">
        <v>385.71428571428567</v>
      </c>
      <c r="F3" s="1">
        <f>SUM(B3:E3)</f>
        <v>3704.7142857142858</v>
      </c>
    </row>
    <row r="4" spans="1:6" x14ac:dyDescent="0.25">
      <c r="A4" t="s">
        <v>6</v>
      </c>
      <c r="B4" s="1">
        <v>2666.666666666667</v>
      </c>
      <c r="C4" s="1">
        <v>1157.1428571428571</v>
      </c>
      <c r="F4" s="1">
        <f t="shared" ref="F4:F10" si="0">SUM(B4:E4)</f>
        <v>3823.8095238095239</v>
      </c>
    </row>
    <row r="5" spans="1:6" x14ac:dyDescent="0.25">
      <c r="A5" t="s">
        <v>7</v>
      </c>
      <c r="B5" s="1">
        <v>3076.9230769230771</v>
      </c>
      <c r="C5" s="1">
        <v>771.42857142857133</v>
      </c>
      <c r="F5" s="1">
        <f t="shared" si="0"/>
        <v>3848.3516483516487</v>
      </c>
    </row>
    <row r="6" spans="1:6" x14ac:dyDescent="0.25">
      <c r="A6" t="s">
        <v>8</v>
      </c>
      <c r="B6" s="1">
        <v>2874.9999999999995</v>
      </c>
      <c r="C6" s="1"/>
      <c r="F6" s="1">
        <f t="shared" si="0"/>
        <v>2874.9999999999995</v>
      </c>
    </row>
    <row r="7" spans="1:6" x14ac:dyDescent="0.25">
      <c r="A7" t="s">
        <v>9</v>
      </c>
      <c r="B7" s="1">
        <v>3518.5185185185182</v>
      </c>
      <c r="C7" s="1">
        <v>231.42857142857142</v>
      </c>
      <c r="F7" s="1">
        <f t="shared" si="0"/>
        <v>3749.9470899470898</v>
      </c>
    </row>
    <row r="8" spans="1:6" x14ac:dyDescent="0.25">
      <c r="A8" t="s">
        <v>10</v>
      </c>
      <c r="B8" s="1">
        <v>4129.0322580645161</v>
      </c>
      <c r="C8" s="1">
        <v>385.71428571428567</v>
      </c>
      <c r="F8" s="1">
        <f t="shared" si="0"/>
        <v>4514.7465437788014</v>
      </c>
    </row>
    <row r="9" spans="1:6" x14ac:dyDescent="0.25">
      <c r="A9" t="s">
        <v>11</v>
      </c>
      <c r="B9">
        <v>1909</v>
      </c>
      <c r="C9" s="1">
        <v>385.71428571428567</v>
      </c>
      <c r="D9">
        <v>1593</v>
      </c>
      <c r="F9" s="1">
        <f t="shared" si="0"/>
        <v>3887.7142857142858</v>
      </c>
    </row>
    <row r="10" spans="1:6" x14ac:dyDescent="0.25">
      <c r="A10" t="s">
        <v>12</v>
      </c>
      <c r="B10">
        <v>2600</v>
      </c>
      <c r="C10" s="1">
        <v>385.71428571428567</v>
      </c>
      <c r="F10" s="1">
        <f t="shared" si="0"/>
        <v>2985.7142857142858</v>
      </c>
    </row>
    <row r="11" spans="1:6" x14ac:dyDescent="0.25">
      <c r="A11" t="s">
        <v>13</v>
      </c>
      <c r="B11" s="1">
        <f>F11-C11</f>
        <v>3611.0211347171339</v>
      </c>
      <c r="C11" s="1">
        <v>385.71428571428567</v>
      </c>
      <c r="F11" s="1">
        <v>3996.7354204314197</v>
      </c>
    </row>
    <row r="12" spans="1:6" x14ac:dyDescent="0.25">
      <c r="A12" s="2" t="s">
        <v>14</v>
      </c>
      <c r="B12" s="1">
        <f>3541.5516-D12</f>
        <v>2968.0715999999998</v>
      </c>
      <c r="C12" s="1">
        <v>385.71428571428567</v>
      </c>
      <c r="D12" s="1">
        <v>573.48</v>
      </c>
      <c r="E12">
        <v>24</v>
      </c>
      <c r="F12" s="1">
        <f>SUM(B12:E12)</f>
        <v>3951.2658857142856</v>
      </c>
    </row>
    <row r="13" spans="1:6" x14ac:dyDescent="0.25">
      <c r="A13" t="s">
        <v>15</v>
      </c>
      <c r="B13" s="1">
        <f>F13-E13-D13-C13</f>
        <v>3176.52</v>
      </c>
      <c r="C13" s="1">
        <v>798</v>
      </c>
      <c r="D13" s="1">
        <v>573.48</v>
      </c>
      <c r="E13">
        <v>24</v>
      </c>
      <c r="F13">
        <v>4572</v>
      </c>
    </row>
    <row r="30" spans="3:7" x14ac:dyDescent="0.25">
      <c r="C30" s="1"/>
      <c r="G30" s="1"/>
    </row>
    <row r="32" spans="3:7" x14ac:dyDescent="0.25">
      <c r="C32" s="3"/>
      <c r="D32" s="1"/>
      <c r="E32" s="1"/>
    </row>
    <row r="33" spans="3:6" x14ac:dyDescent="0.25">
      <c r="E33" s="4"/>
    </row>
    <row r="36" spans="3:6" x14ac:dyDescent="0.25">
      <c r="F36" s="1"/>
    </row>
    <row r="37" spans="3:6" x14ac:dyDescent="0.25">
      <c r="D37" s="1"/>
    </row>
    <row r="39" spans="3:6" x14ac:dyDescent="0.25">
      <c r="C39" s="1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N-Fertilizer-Emissions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jmd</dc:creator>
  <cp:lastModifiedBy>Henning Kage</cp:lastModifiedBy>
  <dcterms:created xsi:type="dcterms:W3CDTF">2022-09-30T12:13:00Z</dcterms:created>
  <dcterms:modified xsi:type="dcterms:W3CDTF">2022-09-30T14:10:48Z</dcterms:modified>
</cp:coreProperties>
</file>