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90"/>
  <workbookPr defaultThemeVersion="124226"/>
  <mc:AlternateContent xmlns:mc="http://schemas.openxmlformats.org/markup-compatibility/2006">
    <mc:Choice Requires="x15">
      <x15ac:absPath xmlns:x15ac="http://schemas.microsoft.com/office/spreadsheetml/2010/11/ac" url="C:\Users\h_kage\Nextcloud2\R_Projekte\RBioGraceII\Literatur\"/>
    </mc:Choice>
  </mc:AlternateContent>
  <xr:revisionPtr revIDLastSave="0" documentId="8_{620EB378-D633-4914-A320-2764D0A24112}" xr6:coauthVersionLast="36" xr6:coauthVersionMax="36" xr10:uidLastSave="{00000000-0000-0000-0000-000000000000}"/>
  <bookViews>
    <workbookView xWindow="32760" yWindow="45" windowWidth="10050" windowHeight="9255"/>
  </bookViews>
  <sheets>
    <sheet name="Blad1" sheetId="1" r:id="rId1"/>
  </sheets>
  <externalReferences>
    <externalReference r:id="rId2"/>
  </externalReferences>
  <definedNames>
    <definedName name="dataset1661metaInformation" localSheetId="0">Blad1!#REF!</definedName>
    <definedName name="dataset1662metaInformation" localSheetId="0">Blad1!$H$215</definedName>
    <definedName name="Option_A_0_B_1">[1]About!$B$80</definedName>
  </definedNames>
  <calcPr calcId="191029"/>
</workbook>
</file>

<file path=xl/calcChain.xml><?xml version="1.0" encoding="utf-8"?>
<calcChain xmlns="http://schemas.openxmlformats.org/spreadsheetml/2006/main">
  <c r="H17" i="1" l="1"/>
  <c r="L211" i="1"/>
  <c r="L132" i="1"/>
  <c r="L99" i="1"/>
  <c r="L100" i="1"/>
  <c r="L101" i="1"/>
  <c r="L84" i="1"/>
  <c r="L78" i="1"/>
  <c r="H40" i="1"/>
  <c r="H39" i="1"/>
  <c r="L61" i="1"/>
  <c r="L76" i="1"/>
  <c r="H15" i="1"/>
  <c r="H16" i="1"/>
  <c r="H18" i="1"/>
  <c r="H19" i="1"/>
  <c r="H20" i="1"/>
  <c r="H21" i="1"/>
  <c r="H22" i="1"/>
  <c r="H25" i="1"/>
  <c r="H26" i="1"/>
  <c r="H27" i="1"/>
  <c r="G28" i="1"/>
  <c r="H28" i="1" s="1"/>
  <c r="H31" i="1"/>
  <c r="H34" i="1"/>
  <c r="H35" i="1"/>
  <c r="H36" i="1"/>
  <c r="H43" i="1"/>
  <c r="H44" i="1"/>
  <c r="E45" i="1"/>
  <c r="G45" i="1"/>
  <c r="H46" i="1"/>
  <c r="H47" i="1"/>
  <c r="H48" i="1"/>
  <c r="H49" i="1"/>
  <c r="H50" i="1"/>
  <c r="H51" i="1"/>
  <c r="H52" i="1"/>
  <c r="H53" i="1"/>
  <c r="L57" i="1"/>
  <c r="L58" i="1"/>
  <c r="L59" i="1"/>
  <c r="L60" i="1"/>
  <c r="L62" i="1"/>
  <c r="L63" i="1"/>
  <c r="L64" i="1"/>
  <c r="L65" i="1"/>
  <c r="L66" i="1"/>
  <c r="L67" i="1"/>
  <c r="L68" i="1"/>
  <c r="L69" i="1"/>
  <c r="L70" i="1"/>
  <c r="L71" i="1"/>
  <c r="L72" i="1"/>
  <c r="L73" i="1"/>
  <c r="L74" i="1"/>
  <c r="L75" i="1"/>
  <c r="L77" i="1"/>
  <c r="L79" i="1"/>
  <c r="L80" i="1"/>
  <c r="L81" i="1"/>
  <c r="L82" i="1"/>
  <c r="L83" i="1"/>
  <c r="L87" i="1"/>
  <c r="L88" i="1"/>
  <c r="L89" i="1"/>
  <c r="L90" i="1"/>
  <c r="L91" i="1"/>
  <c r="L92" i="1"/>
  <c r="L93" i="1"/>
  <c r="L94" i="1"/>
  <c r="L95" i="1"/>
  <c r="L96" i="1"/>
  <c r="L97" i="1"/>
  <c r="L98"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81" i="1"/>
  <c r="L182" i="1"/>
  <c r="L185" i="1"/>
  <c r="L186" i="1"/>
  <c r="L189" i="1"/>
  <c r="L190" i="1"/>
  <c r="L191" i="1"/>
  <c r="L192" i="1"/>
  <c r="L193" i="1"/>
  <c r="L194" i="1"/>
  <c r="L195" i="1"/>
  <c r="L196" i="1"/>
  <c r="L197" i="1"/>
  <c r="L198" i="1"/>
  <c r="L199" i="1"/>
  <c r="L200" i="1"/>
  <c r="L201" i="1"/>
  <c r="L202" i="1"/>
  <c r="L203" i="1"/>
  <c r="L204" i="1"/>
  <c r="L205" i="1"/>
  <c r="L206" i="1"/>
  <c r="L207" i="1"/>
  <c r="L208" i="1"/>
  <c r="L209" i="1"/>
  <c r="L210" i="1"/>
  <c r="L212" i="1"/>
  <c r="H45" i="1"/>
</calcChain>
</file>

<file path=xl/comments1.xml><?xml version="1.0" encoding="utf-8"?>
<comments xmlns="http://schemas.openxmlformats.org/spreadsheetml/2006/main">
  <authors>
    <author>weindorf</author>
    <author>Horst Fehrenbach</author>
    <author>sbu</author>
  </authors>
  <commentList>
    <comment ref="M5" authorId="0" shapeId="0">
      <text>
        <r>
          <rPr>
            <sz val="8"/>
            <color indexed="81"/>
            <rFont val="Tahoma"/>
            <family val="2"/>
          </rPr>
          <t>fossil plus nuclear (= non-renewable energy)
In the CONCAWE/EUCAR/JRC study the use of non-renewable energy is meant with "fossel energy" 
Supply and use</t>
        </r>
      </text>
    </comment>
    <comment ref="I6" authorId="0" shapeId="0">
      <text>
        <r>
          <rPr>
            <sz val="8"/>
            <color indexed="81"/>
            <rFont val="Tahoma"/>
            <family val="2"/>
          </rPr>
          <t>supply and use (combustion)</t>
        </r>
      </text>
    </comment>
    <comment ref="L6" authorId="0" shapeId="0">
      <text>
        <r>
          <rPr>
            <sz val="8"/>
            <color indexed="81"/>
            <rFont val="Tahoma"/>
            <family val="2"/>
          </rPr>
          <t>supply and use (combustion)</t>
        </r>
      </text>
    </comment>
    <comment ref="E27" authorId="1" shapeId="0">
      <text>
        <r>
          <rPr>
            <sz val="8"/>
            <color indexed="81"/>
            <rFont val="Tahoma"/>
            <family val="2"/>
          </rPr>
          <t xml:space="preserve">Emission are calculated per kg P2O5 which includes the emission per kg N. It is not needed to calculate the emission per kg N. </t>
        </r>
      </text>
    </comment>
    <comment ref="E28" authorId="1" shapeId="0">
      <text>
        <r>
          <rPr>
            <sz val="8"/>
            <color indexed="81"/>
            <rFont val="Tahoma"/>
            <family val="2"/>
          </rPr>
          <t xml:space="preserve">Emission are calculated per kg P2O5 which includes the emission per kg N. It is not needed to calculate the emission per kg N.  </t>
        </r>
      </text>
    </comment>
    <comment ref="E34" authorId="2" shapeId="0">
      <text>
        <r>
          <rPr>
            <sz val="8"/>
            <color indexed="81"/>
            <rFont val="Tahoma"/>
            <family val="2"/>
          </rPr>
          <t xml:space="preserve">Emission are calculated per Kg N, which includes the emission per kg P2O5 and K2O. It is not needed to calculate the emission per kg P2O5 en K2O. </t>
        </r>
      </text>
    </comment>
  </commentList>
</comments>
</file>

<file path=xl/sharedStrings.xml><?xml version="1.0" encoding="utf-8"?>
<sst xmlns="http://schemas.openxmlformats.org/spreadsheetml/2006/main" count="413" uniqueCount="248">
  <si>
    <t>LHV</t>
  </si>
  <si>
    <t>Fuel</t>
  </si>
  <si>
    <t>Transport exhaust</t>
  </si>
  <si>
    <t xml:space="preserve">parameter: </t>
  </si>
  <si>
    <t>GHG emission coefficient</t>
  </si>
  <si>
    <t>Fossil energy input</t>
  </si>
  <si>
    <t>Density</t>
  </si>
  <si>
    <t>MJ/kg</t>
  </si>
  <si>
    <t>efficiency</t>
  </si>
  <si>
    <t>gas emissions</t>
  </si>
  <si>
    <t>Source</t>
  </si>
  <si>
    <t xml:space="preserve">unit: </t>
  </si>
  <si>
    <r>
      <t>gCH</t>
    </r>
    <r>
      <rPr>
        <vertAlign val="subscript"/>
        <sz val="10"/>
        <color indexed="22"/>
        <rFont val="Verdana"/>
        <family val="2"/>
      </rPr>
      <t>4</t>
    </r>
    <r>
      <rPr>
        <sz val="10"/>
        <color indexed="22"/>
        <rFont val="Verdana"/>
        <family val="2"/>
      </rPr>
      <t>/kg</t>
    </r>
  </si>
  <si>
    <r>
      <t>gN</t>
    </r>
    <r>
      <rPr>
        <vertAlign val="subscript"/>
        <sz val="10"/>
        <color indexed="22"/>
        <rFont val="Verdana"/>
        <family val="2"/>
      </rPr>
      <t>2</t>
    </r>
    <r>
      <rPr>
        <sz val="10"/>
        <color indexed="22"/>
        <rFont val="Verdana"/>
        <family val="2"/>
      </rPr>
      <t>O/kg</t>
    </r>
  </si>
  <si>
    <r>
      <t>gCO</t>
    </r>
    <r>
      <rPr>
        <vertAlign val="subscript"/>
        <sz val="10"/>
        <color indexed="22"/>
        <rFont val="Verdana"/>
        <family val="2"/>
      </rPr>
      <t>2-eq</t>
    </r>
    <r>
      <rPr>
        <sz val="10"/>
        <color indexed="22"/>
        <rFont val="Verdana"/>
        <family val="2"/>
      </rPr>
      <t>/kg</t>
    </r>
  </si>
  <si>
    <r>
      <t>gCO</t>
    </r>
    <r>
      <rPr>
        <vertAlign val="subscript"/>
        <sz val="10"/>
        <color indexed="22"/>
        <rFont val="Verdana"/>
        <family val="2"/>
      </rPr>
      <t>2</t>
    </r>
    <r>
      <rPr>
        <sz val="10"/>
        <color indexed="22"/>
        <rFont val="Verdana"/>
        <family val="2"/>
      </rPr>
      <t>/MJ</t>
    </r>
  </si>
  <si>
    <r>
      <t>gCH</t>
    </r>
    <r>
      <rPr>
        <vertAlign val="subscript"/>
        <sz val="10"/>
        <color indexed="22"/>
        <rFont val="Verdana"/>
        <family val="2"/>
      </rPr>
      <t>4</t>
    </r>
    <r>
      <rPr>
        <sz val="10"/>
        <color indexed="22"/>
        <rFont val="Verdana"/>
        <family val="2"/>
      </rPr>
      <t>/MJ</t>
    </r>
  </si>
  <si>
    <r>
      <t>gN</t>
    </r>
    <r>
      <rPr>
        <vertAlign val="subscript"/>
        <sz val="10"/>
        <color indexed="22"/>
        <rFont val="Verdana"/>
        <family val="2"/>
      </rPr>
      <t>2</t>
    </r>
    <r>
      <rPr>
        <sz val="10"/>
        <color indexed="22"/>
        <rFont val="Verdana"/>
        <family val="2"/>
      </rPr>
      <t>O/MJ</t>
    </r>
  </si>
  <si>
    <r>
      <t>gCO</t>
    </r>
    <r>
      <rPr>
        <vertAlign val="subscript"/>
        <sz val="10"/>
        <color indexed="22"/>
        <rFont val="Verdana"/>
        <family val="2"/>
      </rPr>
      <t>2-eq</t>
    </r>
    <r>
      <rPr>
        <sz val="10"/>
        <color indexed="22"/>
        <rFont val="Verdana"/>
        <family val="2"/>
      </rPr>
      <t>/MJ</t>
    </r>
  </si>
  <si>
    <r>
      <t>MJ</t>
    </r>
    <r>
      <rPr>
        <vertAlign val="subscript"/>
        <sz val="10"/>
        <color indexed="22"/>
        <rFont val="Verdana"/>
        <family val="2"/>
      </rPr>
      <t>fossil</t>
    </r>
    <r>
      <rPr>
        <sz val="10"/>
        <color indexed="22"/>
        <rFont val="Verdana"/>
        <family val="2"/>
      </rPr>
      <t>/kg</t>
    </r>
  </si>
  <si>
    <r>
      <t>MJ</t>
    </r>
    <r>
      <rPr>
        <vertAlign val="subscript"/>
        <sz val="10"/>
        <color indexed="22"/>
        <rFont val="Verdana"/>
        <family val="2"/>
      </rPr>
      <t>fossil</t>
    </r>
    <r>
      <rPr>
        <sz val="10"/>
        <color indexed="22"/>
        <rFont val="Verdana"/>
        <family val="2"/>
      </rPr>
      <t>/MJ</t>
    </r>
  </si>
  <si>
    <r>
      <t>kg/m</t>
    </r>
    <r>
      <rPr>
        <vertAlign val="superscript"/>
        <sz val="10"/>
        <color indexed="22"/>
        <rFont val="Verdana"/>
        <family val="2"/>
      </rPr>
      <t>3</t>
    </r>
  </si>
  <si>
    <t xml:space="preserve"> (at 0% water)</t>
  </si>
  <si>
    <t>MJ/t.km</t>
  </si>
  <si>
    <r>
      <t>gCH</t>
    </r>
    <r>
      <rPr>
        <vertAlign val="subscript"/>
        <sz val="10"/>
        <color indexed="22"/>
        <rFont val="Verdana"/>
        <family val="2"/>
      </rPr>
      <t>4</t>
    </r>
    <r>
      <rPr>
        <sz val="10"/>
        <color indexed="22"/>
        <rFont val="Verdana"/>
        <family val="2"/>
      </rPr>
      <t>/t.km</t>
    </r>
  </si>
  <si>
    <r>
      <t>gN</t>
    </r>
    <r>
      <rPr>
        <vertAlign val="subscript"/>
        <sz val="10"/>
        <color indexed="22"/>
        <rFont val="Verdana"/>
        <family val="2"/>
      </rPr>
      <t>2</t>
    </r>
    <r>
      <rPr>
        <sz val="10"/>
        <color indexed="22"/>
        <rFont val="Verdana"/>
        <family val="2"/>
      </rPr>
      <t>O/t.km</t>
    </r>
  </si>
  <si>
    <t xml:space="preserve">Agro inputs </t>
  </si>
  <si>
    <t xml:space="preserve">Conversion inputs </t>
  </si>
  <si>
    <t>N-fertiliser (kg N)</t>
  </si>
  <si>
    <r>
      <t>P</t>
    </r>
    <r>
      <rPr>
        <i/>
        <vertAlign val="subscript"/>
        <sz val="10"/>
        <rFont val="Verdana"/>
        <family val="2"/>
      </rPr>
      <t>2</t>
    </r>
    <r>
      <rPr>
        <i/>
        <sz val="10"/>
        <rFont val="Verdana"/>
        <family val="2"/>
      </rPr>
      <t>O</t>
    </r>
    <r>
      <rPr>
        <i/>
        <vertAlign val="subscript"/>
        <sz val="10"/>
        <rFont val="Verdana"/>
        <family val="2"/>
      </rPr>
      <t>5</t>
    </r>
    <r>
      <rPr>
        <i/>
        <sz val="10"/>
        <rFont val="Verdana"/>
        <family val="2"/>
      </rPr>
      <t>-fertiliser (kg P</t>
    </r>
    <r>
      <rPr>
        <i/>
        <vertAlign val="subscript"/>
        <sz val="10"/>
        <rFont val="Verdana"/>
        <family val="2"/>
      </rPr>
      <t>2</t>
    </r>
    <r>
      <rPr>
        <i/>
        <sz val="10"/>
        <rFont val="Verdana"/>
        <family val="2"/>
      </rPr>
      <t>O</t>
    </r>
    <r>
      <rPr>
        <i/>
        <vertAlign val="subscript"/>
        <sz val="10"/>
        <rFont val="Verdana"/>
        <family val="2"/>
      </rPr>
      <t>5</t>
    </r>
    <r>
      <rPr>
        <i/>
        <sz val="10"/>
        <rFont val="Verdana"/>
        <family val="2"/>
      </rPr>
      <t>)</t>
    </r>
  </si>
  <si>
    <r>
      <t>K</t>
    </r>
    <r>
      <rPr>
        <i/>
        <vertAlign val="subscript"/>
        <sz val="10"/>
        <rFont val="Verdana"/>
        <family val="2"/>
      </rPr>
      <t>2</t>
    </r>
    <r>
      <rPr>
        <i/>
        <sz val="10"/>
        <rFont val="Verdana"/>
        <family val="2"/>
      </rPr>
      <t>O-fertiliser (kg K</t>
    </r>
    <r>
      <rPr>
        <i/>
        <vertAlign val="subscript"/>
        <sz val="10"/>
        <rFont val="Verdana"/>
        <family val="2"/>
      </rPr>
      <t>2</t>
    </r>
    <r>
      <rPr>
        <i/>
        <sz val="10"/>
        <rFont val="Verdana"/>
        <family val="2"/>
      </rPr>
      <t>O)</t>
    </r>
  </si>
  <si>
    <t>Other fertilisers</t>
  </si>
  <si>
    <t>MgO (kg MgO)</t>
  </si>
  <si>
    <t>Sodium (Na) fertiliser (kg Na)</t>
  </si>
  <si>
    <t>Acetic acid</t>
  </si>
  <si>
    <t>Citric acid</t>
  </si>
  <si>
    <t>Sodium methylate</t>
  </si>
  <si>
    <t>Isobutene</t>
  </si>
  <si>
    <t>Nitrogen</t>
  </si>
  <si>
    <t>Muriate of Potash (MOP) 60%K2O</t>
  </si>
  <si>
    <r>
      <t>Rock phosphate 21%P</t>
    </r>
    <r>
      <rPr>
        <vertAlign val="subscript"/>
        <sz val="10"/>
        <rFont val="Verdana"/>
        <family val="2"/>
      </rPr>
      <t>2</t>
    </r>
    <r>
      <rPr>
        <sz val="10"/>
        <rFont val="Verdana"/>
        <family val="2"/>
      </rPr>
      <t>O</t>
    </r>
    <r>
      <rPr>
        <vertAlign val="subscript"/>
        <sz val="10"/>
        <rFont val="Verdana"/>
        <family val="2"/>
      </rPr>
      <t>5</t>
    </r>
    <r>
      <rPr>
        <sz val="10"/>
        <rFont val="Verdana"/>
        <family val="2"/>
      </rPr>
      <t xml:space="preserve"> 23%SO</t>
    </r>
    <r>
      <rPr>
        <vertAlign val="subscript"/>
        <sz val="10"/>
        <rFont val="Verdana"/>
        <family val="2"/>
      </rPr>
      <t>3</t>
    </r>
  </si>
  <si>
    <r>
      <t>Mono ammonium phosphate (MAP) 11%N 52%P</t>
    </r>
    <r>
      <rPr>
        <vertAlign val="subscript"/>
        <sz val="10"/>
        <rFont val="Verdana"/>
        <family val="2"/>
      </rPr>
      <t>2</t>
    </r>
    <r>
      <rPr>
        <sz val="10"/>
        <rFont val="Verdana"/>
        <family val="2"/>
      </rPr>
      <t>O</t>
    </r>
    <r>
      <rPr>
        <vertAlign val="subscript"/>
        <sz val="10"/>
        <rFont val="Verdana"/>
        <family val="2"/>
      </rPr>
      <t>5</t>
    </r>
  </si>
  <si>
    <t>Electric emission coefficients</t>
  </si>
  <si>
    <t>Isobutene (byproduct of petrol refinery)</t>
  </si>
  <si>
    <t>Australia/Oceania</t>
  </si>
  <si>
    <t>North America</t>
  </si>
  <si>
    <t>Antioxidant BHT (butylated hydroxytoluene)</t>
  </si>
  <si>
    <t>Anhydrous ammonia</t>
  </si>
  <si>
    <t>Ammonium nitrate (AN)</t>
  </si>
  <si>
    <t>Ammonium sulphate (AS)</t>
  </si>
  <si>
    <t>Calcium ammonium nitrate (CAN)</t>
  </si>
  <si>
    <t>Urea</t>
  </si>
  <si>
    <t>Urea ammonium nitrate (UAN)</t>
  </si>
  <si>
    <t>NPK 15-15-15</t>
  </si>
  <si>
    <t>Calcium nitrate (CN)</t>
  </si>
  <si>
    <t xml:space="preserve">Triple superphosphate (TSP) </t>
  </si>
  <si>
    <t>Sodium silicate (37% in water)</t>
  </si>
  <si>
    <t>Zeolith</t>
  </si>
  <si>
    <t>Estimation based on data for precursors (phenol, isobutene)</t>
  </si>
  <si>
    <t>Jenssen, T.K. et Kongshaug G., 2003, Energy Consumption and Greenhouse Gas Emissions in Fertiliser Production, Proceedings No. 509. International Fertiliser Society York, UK. www.fertiliser-society.org</t>
  </si>
  <si>
    <t>Assessing the GHG emissions of rapeseed and soybean biodiesel, May 2010, Biomass Reasearch center, University of Perugia</t>
  </si>
  <si>
    <t>Europe (Non-EU)</t>
  </si>
  <si>
    <t>Albania</t>
  </si>
  <si>
    <t>Bosnia and Herzegovina</t>
  </si>
  <si>
    <t>Croatia</t>
  </si>
  <si>
    <t>FYR Macedonia</t>
  </si>
  <si>
    <t>Switzerland</t>
  </si>
  <si>
    <t>Global Warming Potentials (GWP's)</t>
  </si>
  <si>
    <r>
      <t>CO</t>
    </r>
    <r>
      <rPr>
        <vertAlign val="subscript"/>
        <sz val="10"/>
        <rFont val="Verdana"/>
        <family val="2"/>
      </rPr>
      <t>2</t>
    </r>
  </si>
  <si>
    <r>
      <t>CH</t>
    </r>
    <r>
      <rPr>
        <vertAlign val="subscript"/>
        <sz val="10"/>
        <rFont val="Verdana"/>
        <family val="2"/>
      </rPr>
      <t>4</t>
    </r>
  </si>
  <si>
    <r>
      <t>N</t>
    </r>
    <r>
      <rPr>
        <vertAlign val="subscript"/>
        <sz val="10"/>
        <rFont val="Verdana"/>
        <family val="2"/>
      </rPr>
      <t>2</t>
    </r>
    <r>
      <rPr>
        <sz val="10"/>
        <rFont val="Verdana"/>
        <family val="2"/>
      </rPr>
      <t>O</t>
    </r>
  </si>
  <si>
    <t>Norway</t>
  </si>
  <si>
    <t>Iceland</t>
  </si>
  <si>
    <t>Armenia</t>
  </si>
  <si>
    <t>Azerbaijan</t>
  </si>
  <si>
    <t>Belarus</t>
  </si>
  <si>
    <t>Georgia</t>
  </si>
  <si>
    <t>Moldova</t>
  </si>
  <si>
    <t>Russia</t>
  </si>
  <si>
    <t>Turkey</t>
  </si>
  <si>
    <t>Ukraine</t>
  </si>
  <si>
    <t>Algeria</t>
  </si>
  <si>
    <t>Egypt</t>
  </si>
  <si>
    <t>Libya</t>
  </si>
  <si>
    <t>Sudan</t>
  </si>
  <si>
    <t>Eritrea</t>
  </si>
  <si>
    <t>Ethiopia</t>
  </si>
  <si>
    <t>Kenya</t>
  </si>
  <si>
    <t>Tanzania</t>
  </si>
  <si>
    <t>Angola</t>
  </si>
  <si>
    <t>Botswana</t>
  </si>
  <si>
    <t>Mozambique</t>
  </si>
  <si>
    <t>Namibia</t>
  </si>
  <si>
    <t>South Africa</t>
  </si>
  <si>
    <t>Zimbabwe</t>
  </si>
  <si>
    <t>Benin</t>
  </si>
  <si>
    <t>Ghana</t>
  </si>
  <si>
    <t>Ivory Coast</t>
  </si>
  <si>
    <t>Nigeria</t>
  </si>
  <si>
    <t>Senegal</t>
  </si>
  <si>
    <t>Togo</t>
  </si>
  <si>
    <t>Cameroon</t>
  </si>
  <si>
    <t>Hong Kong</t>
  </si>
  <si>
    <t>Korea North</t>
  </si>
  <si>
    <t>Korea South</t>
  </si>
  <si>
    <t>Japan</t>
  </si>
  <si>
    <t>Bangladesh</t>
  </si>
  <si>
    <t>India</t>
  </si>
  <si>
    <t>Pakistan</t>
  </si>
  <si>
    <t>Nepal</t>
  </si>
  <si>
    <t>Sri Lanka</t>
  </si>
  <si>
    <t>Brunei</t>
  </si>
  <si>
    <t>Cambodia</t>
  </si>
  <si>
    <t>Indonesia</t>
  </si>
  <si>
    <t>Malaysia</t>
  </si>
  <si>
    <t>Myanmar</t>
  </si>
  <si>
    <t>Philippines</t>
  </si>
  <si>
    <t>Thailand</t>
  </si>
  <si>
    <t>Vietnam</t>
  </si>
  <si>
    <t>Bahrain</t>
  </si>
  <si>
    <t>Iran</t>
  </si>
  <si>
    <t>Iraq</t>
  </si>
  <si>
    <t>Israel</t>
  </si>
  <si>
    <t>Kuwait</t>
  </si>
  <si>
    <t>Lebanon</t>
  </si>
  <si>
    <t>Oman</t>
  </si>
  <si>
    <t>Qatar</t>
  </si>
  <si>
    <t>Saudi-Arabia</t>
  </si>
  <si>
    <t>Syria</t>
  </si>
  <si>
    <t>United Arab Emirates</t>
  </si>
  <si>
    <t>Yemen</t>
  </si>
  <si>
    <t>Kazakhstan</t>
  </si>
  <si>
    <t>Kyrgyzstan</t>
  </si>
  <si>
    <t>Mongolia</t>
  </si>
  <si>
    <t>Turkmenistan</t>
  </si>
  <si>
    <t>Tajikistan</t>
  </si>
  <si>
    <t>Uzbekistan</t>
  </si>
  <si>
    <t xml:space="preserve">Other Asia </t>
  </si>
  <si>
    <t>Australia</t>
  </si>
  <si>
    <t>New Zealand</t>
  </si>
  <si>
    <t>Dominican Republic</t>
  </si>
  <si>
    <t>El Salvador</t>
  </si>
  <si>
    <t>Guatemala</t>
  </si>
  <si>
    <t>Haiti</t>
  </si>
  <si>
    <t>Honduras</t>
  </si>
  <si>
    <t>Mexico</t>
  </si>
  <si>
    <t>Nicaragua</t>
  </si>
  <si>
    <t>Panama</t>
  </si>
  <si>
    <t>Trinidad and Tobago</t>
  </si>
  <si>
    <t>Canada</t>
  </si>
  <si>
    <t>USA</t>
  </si>
  <si>
    <t>Argentina</t>
  </si>
  <si>
    <t>Bolivia</t>
  </si>
  <si>
    <t>Chile</t>
  </si>
  <si>
    <t>Colombia</t>
  </si>
  <si>
    <t>Ecuador</t>
  </si>
  <si>
    <t>Paraguay</t>
  </si>
  <si>
    <t>Peru</t>
  </si>
  <si>
    <t>Uruguay</t>
  </si>
  <si>
    <t>Venezuela</t>
  </si>
  <si>
    <t>South and Central America</t>
  </si>
  <si>
    <t>Other South and Central America</t>
  </si>
  <si>
    <t>Congo (DR)</t>
  </si>
  <si>
    <t>Congo (Rep.)</t>
  </si>
  <si>
    <t>China (PR)</t>
  </si>
  <si>
    <t>Netherlands Antilles</t>
  </si>
  <si>
    <t xml:space="preserve">21%P2O5, 28% SO3 </t>
  </si>
  <si>
    <t>Seeds</t>
  </si>
  <si>
    <t>maize/corn (non GMO)</t>
  </si>
  <si>
    <t>soybean (non GMO)</t>
  </si>
  <si>
    <t>Transport</t>
  </si>
  <si>
    <t>pipeline (oil, liquids), onshore</t>
  </si>
  <si>
    <r>
      <t>gCO</t>
    </r>
    <r>
      <rPr>
        <vertAlign val="subscript"/>
        <sz val="10"/>
        <color indexed="22"/>
        <rFont val="Verdana"/>
        <family val="2"/>
      </rPr>
      <t>2</t>
    </r>
    <r>
      <rPr>
        <sz val="10"/>
        <color indexed="22"/>
        <rFont val="Verdana"/>
        <family val="2"/>
      </rPr>
      <t>/kg</t>
    </r>
  </si>
  <si>
    <t>Potassium hydroxide (KOH)</t>
  </si>
  <si>
    <t>Morocco</t>
  </si>
  <si>
    <t>Zambia</t>
  </si>
  <si>
    <t>Cuba</t>
  </si>
  <si>
    <t>Brazil</t>
  </si>
  <si>
    <t>Singapore</t>
  </si>
  <si>
    <t>based on disaggregated default values (see step cultivation maize/corn)</t>
  </si>
  <si>
    <t>based on disaggregated default values (see step cultivation soybean)</t>
  </si>
  <si>
    <t>ecoinvent Centre (2007) ecoinvent data v2.0. ecoinvent reports No. 1-25,</t>
  </si>
  <si>
    <t>Africa</t>
  </si>
  <si>
    <t>Asia</t>
  </si>
  <si>
    <t>ADDITIONAL STANDARD VALUES</t>
  </si>
  <si>
    <t>Remark</t>
  </si>
  <si>
    <t>Austria</t>
  </si>
  <si>
    <t>Belgium</t>
  </si>
  <si>
    <t>Bulgaria</t>
  </si>
  <si>
    <t>Cyprus</t>
  </si>
  <si>
    <t>Czech Republic</t>
  </si>
  <si>
    <t>Denmark</t>
  </si>
  <si>
    <t>Estonia</t>
  </si>
  <si>
    <t>Finland</t>
  </si>
  <si>
    <t>France</t>
  </si>
  <si>
    <t>Germany</t>
  </si>
  <si>
    <t>Greece</t>
  </si>
  <si>
    <t>Hungary</t>
  </si>
  <si>
    <t>Ireland</t>
  </si>
  <si>
    <t>Italy</t>
  </si>
  <si>
    <t>Latvia</t>
  </si>
  <si>
    <t>Lithuania</t>
  </si>
  <si>
    <t>Luxemburg</t>
  </si>
  <si>
    <t>Malta</t>
  </si>
  <si>
    <t>the Netherlands</t>
  </si>
  <si>
    <t>Poland</t>
  </si>
  <si>
    <t>Portugal</t>
  </si>
  <si>
    <t>Romania</t>
  </si>
  <si>
    <t>Slovakia</t>
  </si>
  <si>
    <t>Spain</t>
  </si>
  <si>
    <t>Sweden</t>
  </si>
  <si>
    <t>United Kingdom</t>
  </si>
  <si>
    <t>Slovenia</t>
  </si>
  <si>
    <t>Europe (EU - 28)</t>
  </si>
  <si>
    <t>Gibraltar</t>
  </si>
  <si>
    <t>Kosovo</t>
  </si>
  <si>
    <t>Montenegro</t>
  </si>
  <si>
    <t>Serbia</t>
  </si>
  <si>
    <t>Gabon</t>
  </si>
  <si>
    <t>Mauritius</t>
  </si>
  <si>
    <t>Tunisia</t>
  </si>
  <si>
    <t>Other Africa</t>
  </si>
  <si>
    <t>Chinese Taipei</t>
  </si>
  <si>
    <t>Jordan</t>
  </si>
  <si>
    <t>Costa Rica</t>
  </si>
  <si>
    <t>Jamaica</t>
  </si>
  <si>
    <t>Di-Ammonium-Phosphate (DAP) 18%N 46%P2O5</t>
  </si>
  <si>
    <t>33.5% N, European average 2011</t>
  </si>
  <si>
    <t>26% N, 14% S, European average 2011</t>
  </si>
  <si>
    <t>21% N, 24% S, European average 2011</t>
  </si>
  <si>
    <t>waterfree, 82% N, European average 2011</t>
  </si>
  <si>
    <t>27% N, European average 2011</t>
  </si>
  <si>
    <t>15.5% N, European average 2011</t>
  </si>
  <si>
    <t>46% N, European average 2011</t>
  </si>
  <si>
    <t>30% N, European average 2011</t>
  </si>
  <si>
    <t>48% P2O5 European average 2011</t>
  </si>
  <si>
    <t>11% N, 52% P2O5, European average 2011</t>
  </si>
  <si>
    <t>18% N, 46% P2O5, European average 2011</t>
  </si>
  <si>
    <t>60% K2O, European average 2011</t>
  </si>
  <si>
    <t>15% N, 15% P2O5,15%K2O, European average 2011</t>
  </si>
  <si>
    <t>F. Brentrup and C. Pallière (2014), Energy efficiency and GHG emissions in European nitrogen fertiliser production and use.</t>
  </si>
  <si>
    <t>Ammonium nitrate sulphate (ANS)</t>
  </si>
  <si>
    <t>Version 4d</t>
  </si>
  <si>
    <t>(assuming CO2 emissions are similar to those for potassium chloride) Jenssen, T.K. et Kongshaug G., 2003, Energy Consumption and Greenhouse Gas Emissions in Fertiliser Production, Proceedings No. 509. International Fertiliser Society York, UK. www.fertiliser-society.org</t>
  </si>
  <si>
    <t>ALL: IFEU calculations based on IEA 2012 data for power plant and grid model; methodology see "Documentation for the UMBERTO based electricity grid model created by IFEU" (http://www.ifeu.de/english/index.php?bereich=ind&amp;seite=energieerzeugung)</t>
  </si>
  <si>
    <t>Ibid.</t>
  </si>
  <si>
    <t>Ecoinvent Centre (2007) ecoinvent data v2.0. ecoinvent reports No. 1-25,</t>
  </si>
  <si>
    <r>
      <t>gCO</t>
    </r>
    <r>
      <rPr>
        <vertAlign val="subscript"/>
        <sz val="10"/>
        <color indexed="22"/>
        <rFont val="Verdana"/>
        <family val="2"/>
      </rPr>
      <t>2-eq</t>
    </r>
    <r>
      <rPr>
        <sz val="10"/>
        <color indexed="22"/>
        <rFont val="Verdana"/>
        <family val="2"/>
      </rPr>
      <t>/t.km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</si>
</sst>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88" formatCode="0.000"/>
    <numFmt numFmtId="189" formatCode="0.0000"/>
    <numFmt numFmtId="190" formatCode="0.0"/>
  </numFmts>
  <fonts count="24" x14ac:knownFonts="1">
    <font>
      <sz val="10"/>
      <name val="Arial"/>
    </font>
    <font>
      <sz val="10"/>
      <name val="Verdana"/>
      <family val="2"/>
    </font>
    <font>
      <b/>
      <sz val="10"/>
      <name val="Verdana"/>
      <family val="2"/>
    </font>
    <font>
      <b/>
      <sz val="16"/>
      <color indexed="9"/>
      <name val="Verdana"/>
      <family val="2"/>
    </font>
    <font>
      <sz val="10"/>
      <color indexed="9"/>
      <name val="Verdana"/>
      <family val="2"/>
    </font>
    <font>
      <b/>
      <sz val="10"/>
      <color indexed="9"/>
      <name val="Verdana"/>
      <family val="2"/>
    </font>
    <font>
      <sz val="10"/>
      <color indexed="9"/>
      <name val="Arial"/>
      <family val="2"/>
    </font>
    <font>
      <sz val="10"/>
      <color indexed="22"/>
      <name val="Verdana"/>
      <family val="2"/>
    </font>
    <font>
      <b/>
      <sz val="10"/>
      <color indexed="22"/>
      <name val="Verdana"/>
      <family val="2"/>
    </font>
    <font>
      <vertAlign val="subscript"/>
      <sz val="10"/>
      <color indexed="22"/>
      <name val="Verdana"/>
      <family val="2"/>
    </font>
    <font>
      <vertAlign val="superscript"/>
      <sz val="10"/>
      <color indexed="22"/>
      <name val="Verdana"/>
      <family val="2"/>
    </font>
    <font>
      <i/>
      <sz val="10"/>
      <color indexed="22"/>
      <name val="Verdana"/>
      <family val="2"/>
    </font>
    <font>
      <i/>
      <sz val="10"/>
      <name val="Verdana"/>
      <family val="2"/>
    </font>
    <font>
      <sz val="8"/>
      <color indexed="81"/>
      <name val="Tahoma"/>
      <family val="2"/>
    </font>
    <font>
      <i/>
      <vertAlign val="subscript"/>
      <sz val="10"/>
      <name val="Verdana"/>
      <family val="2"/>
    </font>
    <font>
      <b/>
      <i/>
      <sz val="10"/>
      <name val="Verdana"/>
      <family val="2"/>
    </font>
    <font>
      <vertAlign val="subscript"/>
      <sz val="10"/>
      <name val="Verdana"/>
      <family val="2"/>
    </font>
    <font>
      <sz val="11"/>
      <color indexed="8"/>
      <name val="Arial"/>
      <family val="2"/>
    </font>
    <font>
      <b/>
      <sz val="10"/>
      <color indexed="18"/>
      <name val="Verdana"/>
      <family val="2"/>
    </font>
    <font>
      <sz val="9"/>
      <name val="Verdana"/>
      <family val="2"/>
    </font>
    <font>
      <sz val="9"/>
      <color indexed="8"/>
      <name val="Verdana"/>
      <family val="2"/>
    </font>
    <font>
      <sz val="10"/>
      <name val="Calibri"/>
      <family val="2"/>
    </font>
    <font>
      <sz val="9"/>
      <color indexed="10"/>
      <name val="Verdana"/>
      <family val="2"/>
    </font>
    <font>
      <i/>
      <sz val="9"/>
      <name val="Verdana"/>
      <family val="2"/>
    </font>
  </fonts>
  <fills count="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1"/>
        <bgColor indexed="64"/>
      </patternFill>
    </fill>
    <fill>
      <patternFill patternType="solid">
        <fgColor indexed="26"/>
        <bgColor indexed="64"/>
      </patternFill>
    </fill>
    <fill>
      <patternFill patternType="solid">
        <fgColor indexed="51"/>
        <bgColor indexed="64"/>
      </patternFill>
    </fill>
    <fill>
      <patternFill patternType="solid">
        <fgColor indexed="19"/>
        <bgColor indexed="64"/>
      </patternFill>
    </fill>
    <fill>
      <patternFill patternType="solid">
        <fgColor theme="0"/>
        <bgColor indexed="64"/>
      </patternFill>
    </fill>
  </fills>
  <borders count="75">
    <border>
      <left/>
      <right/>
      <top/>
      <bottom/>
      <diagonal/>
    </border>
    <border>
      <left/>
      <right style="medium">
        <color indexed="64"/>
      </right>
      <top/>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dashed">
        <color indexed="64"/>
      </left>
      <right style="dashed">
        <color indexed="64"/>
      </right>
      <top style="dashed">
        <color indexed="64"/>
      </top>
      <bottom/>
      <diagonal/>
    </border>
    <border>
      <left/>
      <right style="dashed">
        <color indexed="64"/>
      </right>
      <top style="dashed">
        <color indexed="64"/>
      </top>
      <bottom/>
      <diagonal/>
    </border>
    <border>
      <left style="dashed">
        <color indexed="64"/>
      </left>
      <right style="medium">
        <color indexed="64"/>
      </right>
      <top style="dashed">
        <color indexed="64"/>
      </top>
      <bottom style="dashed">
        <color indexed="64"/>
      </bottom>
      <diagonal/>
    </border>
    <border>
      <left style="dashed">
        <color indexed="64"/>
      </left>
      <right style="dashed">
        <color indexed="64"/>
      </right>
      <top/>
      <bottom/>
      <diagonal/>
    </border>
    <border>
      <left style="dashed">
        <color indexed="64"/>
      </left>
      <right style="medium">
        <color indexed="64"/>
      </right>
      <top/>
      <bottom/>
      <diagonal/>
    </border>
    <border>
      <left/>
      <right style="dashed">
        <color indexed="64"/>
      </right>
      <top/>
      <bottom/>
      <diagonal/>
    </border>
    <border>
      <left/>
      <right style="dashed">
        <color indexed="64"/>
      </right>
      <top/>
      <bottom style="dashed">
        <color indexed="64"/>
      </bottom>
      <diagonal/>
    </border>
    <border>
      <left style="dashed">
        <color indexed="64"/>
      </left>
      <right style="dashed">
        <color indexed="64"/>
      </right>
      <top/>
      <bottom style="dashed">
        <color indexed="64"/>
      </bottom>
      <diagonal/>
    </border>
    <border>
      <left style="dashed">
        <color indexed="64"/>
      </left>
      <right style="medium">
        <color indexed="64"/>
      </right>
      <top/>
      <bottom style="dashed">
        <color indexed="64"/>
      </bottom>
      <diagonal/>
    </border>
    <border>
      <left style="medium">
        <color indexed="64"/>
      </left>
      <right style="medium">
        <color indexed="64"/>
      </right>
      <top/>
      <bottom/>
      <diagonal/>
    </border>
    <border>
      <left style="dashed">
        <color indexed="64"/>
      </left>
      <right/>
      <top style="medium">
        <color indexed="64"/>
      </top>
      <bottom style="dashed">
        <color indexed="64"/>
      </bottom>
      <diagonal/>
    </border>
    <border>
      <left style="dashed">
        <color indexed="64"/>
      </left>
      <right/>
      <top/>
      <bottom style="dashed">
        <color indexed="64"/>
      </bottom>
      <diagonal/>
    </border>
    <border>
      <left style="medium">
        <color indexed="64"/>
      </left>
      <right/>
      <top style="dashed">
        <color indexed="64"/>
      </top>
      <bottom/>
      <diagonal/>
    </border>
    <border>
      <left style="dashed">
        <color indexed="64"/>
      </left>
      <right/>
      <top style="dashed">
        <color indexed="64"/>
      </top>
      <bottom/>
      <diagonal/>
    </border>
    <border>
      <left/>
      <right style="medium">
        <color indexed="64"/>
      </right>
      <top style="dashed">
        <color indexed="64"/>
      </top>
      <bottom/>
      <diagonal/>
    </border>
    <border>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style="medium">
        <color indexed="64"/>
      </left>
      <right style="dashed">
        <color indexed="64"/>
      </right>
      <top style="dashed">
        <color indexed="64"/>
      </top>
      <bottom/>
      <diagonal/>
    </border>
    <border>
      <left style="dashed">
        <color indexed="64"/>
      </left>
      <right style="medium">
        <color indexed="64"/>
      </right>
      <top style="dashed">
        <color indexed="64"/>
      </top>
      <bottom/>
      <diagonal/>
    </border>
    <border>
      <left style="medium">
        <color indexed="64"/>
      </left>
      <right style="dashed">
        <color indexed="64"/>
      </right>
      <top style="medium">
        <color indexed="64"/>
      </top>
      <bottom style="dotted">
        <color indexed="64"/>
      </bottom>
      <diagonal/>
    </border>
    <border>
      <left/>
      <right style="dashed">
        <color indexed="64"/>
      </right>
      <top style="medium">
        <color indexed="64"/>
      </top>
      <bottom style="dotted">
        <color indexed="64"/>
      </bottom>
      <diagonal/>
    </border>
    <border>
      <left style="dashed">
        <color indexed="64"/>
      </left>
      <right style="dashed">
        <color indexed="64"/>
      </right>
      <top style="medium">
        <color indexed="64"/>
      </top>
      <bottom style="dotted">
        <color indexed="64"/>
      </bottom>
      <diagonal/>
    </border>
    <border>
      <left style="dashed">
        <color indexed="64"/>
      </left>
      <right style="medium">
        <color indexed="64"/>
      </right>
      <top style="medium">
        <color indexed="64"/>
      </top>
      <bottom style="dotted">
        <color indexed="64"/>
      </bottom>
      <diagonal/>
    </border>
    <border>
      <left style="dashed">
        <color indexed="64"/>
      </left>
      <right style="dashed">
        <color indexed="64"/>
      </right>
      <top style="dotted">
        <color indexed="64"/>
      </top>
      <bottom style="dotted">
        <color indexed="64"/>
      </bottom>
      <diagonal/>
    </border>
    <border>
      <left style="dashed">
        <color indexed="64"/>
      </left>
      <right style="dashed">
        <color indexed="64"/>
      </right>
      <top/>
      <bottom style="dotted">
        <color indexed="64"/>
      </bottom>
      <diagonal/>
    </border>
    <border>
      <left style="dashed">
        <color indexed="64"/>
      </left>
      <right style="medium">
        <color indexed="64"/>
      </right>
      <top/>
      <bottom style="dotted">
        <color indexed="64"/>
      </bottom>
      <diagonal/>
    </border>
    <border>
      <left/>
      <right style="dashed">
        <color indexed="64"/>
      </right>
      <top/>
      <bottom style="dotted">
        <color indexed="64"/>
      </bottom>
      <diagonal/>
    </border>
    <border>
      <left/>
      <right style="medium">
        <color indexed="64"/>
      </right>
      <top/>
      <bottom style="dotted">
        <color indexed="64"/>
      </bottom>
      <diagonal/>
    </border>
    <border>
      <left style="dashed">
        <color indexed="64"/>
      </left>
      <right style="medium">
        <color indexed="64"/>
      </right>
      <top style="dotted">
        <color indexed="64"/>
      </top>
      <bottom style="dotted">
        <color indexed="64"/>
      </bottom>
      <diagonal/>
    </border>
    <border>
      <left/>
      <right style="dashed">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style="dashed">
        <color indexed="64"/>
      </right>
      <top/>
      <bottom style="dotted">
        <color indexed="64"/>
      </bottom>
      <diagonal/>
    </border>
    <border>
      <left/>
      <right style="medium">
        <color indexed="64"/>
      </right>
      <top style="medium">
        <color indexed="64"/>
      </top>
      <bottom style="dotted">
        <color indexed="64"/>
      </bottom>
      <diagonal/>
    </border>
    <border>
      <left/>
      <right/>
      <top style="medium">
        <color indexed="64"/>
      </top>
      <bottom/>
      <diagonal/>
    </border>
    <border>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bottom style="dashed">
        <color indexed="64"/>
      </bottom>
      <diagonal/>
    </border>
    <border>
      <left style="medium">
        <color indexed="64"/>
      </left>
      <right/>
      <top style="dashed">
        <color indexed="64"/>
      </top>
      <bottom style="dashed">
        <color indexed="64"/>
      </bottom>
      <diagonal/>
    </border>
    <border>
      <left/>
      <right style="medium">
        <color indexed="64"/>
      </right>
      <top/>
      <bottom style="dashed">
        <color indexed="64"/>
      </bottom>
      <diagonal/>
    </border>
    <border>
      <left style="medium">
        <color indexed="64"/>
      </left>
      <right style="medium">
        <color indexed="64"/>
      </right>
      <top style="dashed">
        <color indexed="64"/>
      </top>
      <bottom style="dashed">
        <color indexed="64"/>
      </bottom>
      <diagonal/>
    </border>
    <border>
      <left style="dashed">
        <color indexed="64"/>
      </left>
      <right style="medium">
        <color indexed="64"/>
      </right>
      <top style="dashed">
        <color indexed="64"/>
      </top>
      <bottom style="dotted">
        <color indexed="64"/>
      </bottom>
      <diagonal/>
    </border>
    <border>
      <left style="medium">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dashed">
        <color indexed="64"/>
      </left>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right style="dashed">
        <color indexed="64"/>
      </right>
      <top style="dashed">
        <color indexed="64"/>
      </top>
      <bottom style="medium">
        <color indexed="64"/>
      </bottom>
      <diagonal/>
    </border>
    <border>
      <left/>
      <right style="medium">
        <color indexed="64"/>
      </right>
      <top style="dashed">
        <color indexed="64"/>
      </top>
      <bottom style="medium">
        <color indexed="64"/>
      </bottom>
      <diagonal/>
    </border>
    <border>
      <left style="dashed">
        <color indexed="64"/>
      </left>
      <right style="medium">
        <color indexed="64"/>
      </right>
      <top style="dotted">
        <color indexed="64"/>
      </top>
      <bottom style="dashed">
        <color indexed="64"/>
      </bottom>
      <diagonal/>
    </border>
    <border>
      <left/>
      <right/>
      <top style="dashed">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8"/>
      </bottom>
      <diagonal/>
    </border>
    <border>
      <left/>
      <right style="medium">
        <color indexed="64"/>
      </right>
      <top/>
      <bottom style="thin">
        <color indexed="8"/>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top/>
      <bottom/>
      <diagonal/>
    </border>
  </borders>
  <cellStyleXfs count="1">
    <xf numFmtId="0" fontId="0" fillId="0" borderId="0"/>
  </cellStyleXfs>
  <cellXfs count="211">
    <xf numFmtId="0" fontId="0" fillId="0" borderId="0" xfId="0"/>
    <xf numFmtId="0" fontId="1" fillId="0" borderId="0" xfId="0" applyFont="1"/>
    <xf numFmtId="0" fontId="1" fillId="0" borderId="1" xfId="0" applyFont="1" applyBorder="1"/>
    <xf numFmtId="0" fontId="12" fillId="0" borderId="2" xfId="0" applyFont="1" applyFill="1" applyBorder="1" applyAlignment="1">
      <alignment horizontal="center"/>
    </xf>
    <xf numFmtId="0" fontId="12" fillId="0" borderId="3" xfId="0" applyFont="1" applyFill="1" applyBorder="1" applyAlignment="1">
      <alignment horizontal="center"/>
    </xf>
    <xf numFmtId="0" fontId="12" fillId="0" borderId="4" xfId="0" applyFont="1" applyFill="1" applyBorder="1" applyAlignment="1">
      <alignment horizontal="center"/>
    </xf>
    <xf numFmtId="188" fontId="1" fillId="0" borderId="5" xfId="0" applyNumberFormat="1" applyFont="1" applyFill="1" applyBorder="1" applyAlignment="1">
      <alignment horizontal="left"/>
    </xf>
    <xf numFmtId="0" fontId="1" fillId="0" borderId="6" xfId="0" applyFont="1" applyBorder="1"/>
    <xf numFmtId="0" fontId="1" fillId="0" borderId="0" xfId="0" applyFont="1" applyFill="1"/>
    <xf numFmtId="2" fontId="1" fillId="2" borderId="7" xfId="0" applyNumberFormat="1" applyFont="1" applyFill="1" applyBorder="1" applyAlignment="1" applyProtection="1">
      <alignment horizontal="center"/>
      <protection locked="0"/>
    </xf>
    <xf numFmtId="1" fontId="1" fillId="2" borderId="8" xfId="0" applyNumberFormat="1" applyFont="1" applyFill="1" applyBorder="1" applyAlignment="1" applyProtection="1">
      <alignment horizontal="center"/>
      <protection locked="0"/>
    </xf>
    <xf numFmtId="0" fontId="1" fillId="0" borderId="0" xfId="0" applyFont="1" applyBorder="1"/>
    <xf numFmtId="1" fontId="1" fillId="0" borderId="0" xfId="0" applyNumberFormat="1" applyFont="1"/>
    <xf numFmtId="1" fontId="1" fillId="3" borderId="9" xfId="0" applyNumberFormat="1" applyFont="1" applyFill="1" applyBorder="1" applyAlignment="1">
      <alignment horizontal="center"/>
    </xf>
    <xf numFmtId="0" fontId="2" fillId="0" borderId="0" xfId="0" applyFont="1" applyAlignment="1">
      <alignment horizontal="left"/>
    </xf>
    <xf numFmtId="1" fontId="1" fillId="2" borderId="7" xfId="0" applyNumberFormat="1" applyFont="1" applyFill="1" applyBorder="1" applyAlignment="1" applyProtection="1">
      <alignment horizontal="center"/>
      <protection locked="0"/>
    </xf>
    <xf numFmtId="190" fontId="1" fillId="2" borderId="7" xfId="0" applyNumberFormat="1" applyFont="1" applyFill="1" applyBorder="1" applyAlignment="1" applyProtection="1">
      <alignment horizontal="center"/>
      <protection locked="0"/>
    </xf>
    <xf numFmtId="190" fontId="1" fillId="2" borderId="8" xfId="0" applyNumberFormat="1" applyFont="1" applyFill="1" applyBorder="1" applyAlignment="1" applyProtection="1">
      <alignment horizontal="center"/>
      <protection locked="0"/>
    </xf>
    <xf numFmtId="190" fontId="1" fillId="3" borderId="9" xfId="0" applyNumberFormat="1" applyFont="1" applyFill="1" applyBorder="1" applyAlignment="1">
      <alignment horizontal="center"/>
    </xf>
    <xf numFmtId="188" fontId="1" fillId="2" borderId="7" xfId="0" applyNumberFormat="1" applyFont="1" applyFill="1" applyBorder="1" applyAlignment="1" applyProtection="1">
      <alignment horizontal="center"/>
      <protection locked="0"/>
    </xf>
    <xf numFmtId="0" fontId="17" fillId="0" borderId="0" xfId="0" applyFont="1"/>
    <xf numFmtId="0" fontId="1" fillId="0" borderId="10" xfId="0" applyFont="1" applyBorder="1" applyAlignment="1">
      <alignment horizontal="center"/>
    </xf>
    <xf numFmtId="1" fontId="1" fillId="0" borderId="11" xfId="0" applyNumberFormat="1" applyFont="1" applyBorder="1" applyAlignment="1">
      <alignment horizontal="center"/>
    </xf>
    <xf numFmtId="0" fontId="1" fillId="0" borderId="12" xfId="0" applyFont="1" applyBorder="1" applyAlignment="1">
      <alignment horizontal="center"/>
    </xf>
    <xf numFmtId="0" fontId="1" fillId="0" borderId="11" xfId="0" applyFont="1" applyBorder="1" applyAlignment="1">
      <alignment horizontal="center"/>
    </xf>
    <xf numFmtId="0" fontId="1" fillId="0" borderId="1" xfId="0" applyFont="1" applyBorder="1" applyAlignment="1">
      <alignment horizontal="center"/>
    </xf>
    <xf numFmtId="0" fontId="12" fillId="0" borderId="13" xfId="0" applyFont="1" applyFill="1" applyBorder="1" applyAlignment="1">
      <alignment horizontal="center"/>
    </xf>
    <xf numFmtId="0" fontId="12" fillId="0" borderId="14" xfId="0" applyFont="1" applyFill="1" applyBorder="1" applyAlignment="1">
      <alignment horizontal="center"/>
    </xf>
    <xf numFmtId="0" fontId="12" fillId="0" borderId="15" xfId="0" applyFont="1" applyFill="1" applyBorder="1" applyAlignment="1">
      <alignment horizontal="center"/>
    </xf>
    <xf numFmtId="188" fontId="1" fillId="0" borderId="16" xfId="0" applyNumberFormat="1" applyFont="1" applyFill="1" applyBorder="1" applyAlignment="1">
      <alignment horizontal="left"/>
    </xf>
    <xf numFmtId="1" fontId="12" fillId="2" borderId="8" xfId="0" applyNumberFormat="1" applyFont="1" applyFill="1" applyBorder="1" applyAlignment="1" applyProtection="1">
      <alignment horizontal="center"/>
      <protection locked="0"/>
    </xf>
    <xf numFmtId="2" fontId="12" fillId="2" borderId="7" xfId="0" applyNumberFormat="1" applyFont="1" applyFill="1" applyBorder="1" applyAlignment="1" applyProtection="1">
      <alignment horizontal="center"/>
      <protection locked="0"/>
    </xf>
    <xf numFmtId="1" fontId="12" fillId="3" borderId="9" xfId="0" applyNumberFormat="1" applyFont="1" applyFill="1" applyBorder="1" applyAlignment="1">
      <alignment horizontal="center"/>
    </xf>
    <xf numFmtId="188" fontId="12" fillId="2" borderId="7" xfId="0" applyNumberFormat="1" applyFont="1" applyFill="1" applyBorder="1" applyAlignment="1" applyProtection="1">
      <alignment horizontal="center"/>
      <protection locked="0"/>
    </xf>
    <xf numFmtId="0" fontId="1" fillId="0" borderId="0" xfId="0" applyFont="1" applyFill="1" applyBorder="1" applyAlignment="1" applyProtection="1">
      <alignment horizontal="center"/>
      <protection locked="0"/>
    </xf>
    <xf numFmtId="2" fontId="1" fillId="0" borderId="0" xfId="0" applyNumberFormat="1" applyFont="1"/>
    <xf numFmtId="0" fontId="12" fillId="0" borderId="17" xfId="0" applyFont="1" applyFill="1" applyBorder="1" applyAlignment="1">
      <alignment horizontal="center"/>
    </xf>
    <xf numFmtId="0" fontId="12" fillId="0" borderId="18" xfId="0" applyFont="1" applyFill="1" applyBorder="1" applyAlignment="1">
      <alignment horizontal="center"/>
    </xf>
    <xf numFmtId="0" fontId="21" fillId="0" borderId="0" xfId="0" applyFont="1"/>
    <xf numFmtId="0" fontId="1" fillId="0" borderId="19" xfId="0" applyFont="1" applyFill="1" applyBorder="1" applyAlignment="1">
      <alignment horizontal="left"/>
    </xf>
    <xf numFmtId="0" fontId="1" fillId="0" borderId="9" xfId="0" applyFont="1" applyFill="1" applyBorder="1" applyAlignment="1" applyProtection="1">
      <alignment horizontal="left"/>
      <protection locked="0"/>
    </xf>
    <xf numFmtId="0" fontId="1" fillId="0" borderId="20" xfId="0" applyFont="1" applyFill="1" applyBorder="1" applyAlignment="1" applyProtection="1">
      <alignment horizontal="left"/>
      <protection locked="0"/>
    </xf>
    <xf numFmtId="1" fontId="1" fillId="0" borderId="7" xfId="0" applyNumberFormat="1" applyFont="1" applyFill="1" applyBorder="1" applyAlignment="1" applyProtection="1">
      <alignment horizontal="center"/>
      <protection locked="0"/>
    </xf>
    <xf numFmtId="2" fontId="1" fillId="0" borderId="7" xfId="0" applyNumberFormat="1" applyFont="1" applyFill="1" applyBorder="1" applyAlignment="1" applyProtection="1">
      <alignment horizontal="center"/>
      <protection locked="0"/>
    </xf>
    <xf numFmtId="189" fontId="1" fillId="0" borderId="7" xfId="0" applyNumberFormat="1" applyFont="1" applyFill="1" applyBorder="1" applyAlignment="1" applyProtection="1">
      <alignment horizontal="center"/>
      <protection locked="0"/>
    </xf>
    <xf numFmtId="1" fontId="1" fillId="0" borderId="9" xfId="0" applyNumberFormat="1" applyFont="1" applyFill="1" applyBorder="1" applyAlignment="1">
      <alignment horizontal="center"/>
    </xf>
    <xf numFmtId="2" fontId="1" fillId="0" borderId="8" xfId="0" applyNumberFormat="1" applyFont="1" applyFill="1" applyBorder="1" applyAlignment="1" applyProtection="1">
      <alignment horizontal="center"/>
      <protection locked="0"/>
    </xf>
    <xf numFmtId="2" fontId="1" fillId="0" borderId="9" xfId="0" applyNumberFormat="1" applyFont="1" applyFill="1" applyBorder="1" applyAlignment="1">
      <alignment horizontal="center"/>
    </xf>
    <xf numFmtId="189" fontId="1" fillId="0" borderId="8" xfId="0" applyNumberFormat="1" applyFont="1" applyFill="1" applyBorder="1" applyAlignment="1" applyProtection="1">
      <alignment horizontal="center"/>
      <protection locked="0"/>
    </xf>
    <xf numFmtId="1" fontId="1" fillId="0" borderId="8" xfId="0" applyNumberFormat="1" applyFont="1" applyFill="1" applyBorder="1" applyAlignment="1" applyProtection="1">
      <alignment horizontal="center"/>
      <protection locked="0"/>
    </xf>
    <xf numFmtId="190" fontId="1" fillId="0" borderId="21" xfId="0" applyNumberFormat="1" applyFont="1" applyFill="1" applyBorder="1" applyAlignment="1" applyProtection="1">
      <alignment horizontal="center"/>
      <protection locked="0"/>
    </xf>
    <xf numFmtId="2" fontId="1" fillId="0" borderId="22" xfId="0" applyNumberFormat="1" applyFont="1" applyFill="1" applyBorder="1" applyAlignment="1" applyProtection="1">
      <alignment horizontal="center"/>
      <protection locked="0"/>
    </xf>
    <xf numFmtId="188" fontId="1" fillId="0" borderId="23" xfId="0" applyNumberFormat="1" applyFont="1" applyFill="1" applyBorder="1" applyAlignment="1" applyProtection="1">
      <alignment horizontal="center"/>
      <protection locked="0"/>
    </xf>
    <xf numFmtId="188" fontId="1" fillId="0" borderId="24" xfId="0" applyNumberFormat="1" applyFont="1" applyFill="1" applyBorder="1" applyAlignment="1" applyProtection="1">
      <alignment horizontal="center"/>
      <protection locked="0"/>
    </xf>
    <xf numFmtId="189" fontId="1" fillId="0" borderId="9" xfId="0" applyNumberFormat="1" applyFont="1" applyFill="1" applyBorder="1" applyAlignment="1" applyProtection="1">
      <alignment horizontal="center"/>
      <protection locked="0"/>
    </xf>
    <xf numFmtId="188" fontId="19" fillId="0" borderId="16" xfId="0" applyNumberFormat="1" applyFont="1" applyFill="1" applyBorder="1" applyAlignment="1" applyProtection="1">
      <alignment horizontal="left"/>
      <protection locked="0"/>
    </xf>
    <xf numFmtId="0" fontId="19" fillId="0" borderId="1" xfId="0" applyFont="1" applyFill="1" applyBorder="1" applyProtection="1">
      <protection locked="0"/>
    </xf>
    <xf numFmtId="0" fontId="1" fillId="0" borderId="25" xfId="0" applyFont="1" applyFill="1" applyBorder="1" applyAlignment="1">
      <alignment horizontal="left"/>
    </xf>
    <xf numFmtId="0" fontId="1" fillId="0" borderId="26" xfId="0" applyFont="1" applyFill="1" applyBorder="1" applyAlignment="1" applyProtection="1">
      <alignment horizontal="left"/>
      <protection locked="0"/>
    </xf>
    <xf numFmtId="0" fontId="15" fillId="0" borderId="25" xfId="0" applyFont="1" applyFill="1" applyBorder="1" applyAlignment="1">
      <alignment horizontal="left"/>
    </xf>
    <xf numFmtId="188" fontId="1" fillId="0" borderId="7" xfId="0" applyNumberFormat="1" applyFont="1" applyFill="1" applyBorder="1" applyAlignment="1" applyProtection="1">
      <alignment horizontal="center"/>
      <protection locked="0"/>
    </xf>
    <xf numFmtId="0" fontId="1" fillId="0" borderId="27" xfId="0" applyFont="1" applyBorder="1" applyAlignment="1">
      <alignment horizontal="center"/>
    </xf>
    <xf numFmtId="1" fontId="1" fillId="0" borderId="28" xfId="0" applyNumberFormat="1" applyFont="1" applyBorder="1" applyAlignment="1">
      <alignment horizontal="center"/>
    </xf>
    <xf numFmtId="0" fontId="1" fillId="0" borderId="29" xfId="0" applyFont="1" applyBorder="1" applyAlignment="1">
      <alignment horizontal="center"/>
    </xf>
    <xf numFmtId="1" fontId="1" fillId="0" borderId="30" xfId="0" applyNumberFormat="1" applyFont="1"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xf numFmtId="1" fontId="1" fillId="0" borderId="33" xfId="0" applyNumberFormat="1" applyFont="1" applyBorder="1" applyAlignment="1">
      <alignment horizontal="center"/>
    </xf>
    <xf numFmtId="0" fontId="1" fillId="0" borderId="34" xfId="0" applyFont="1" applyBorder="1" applyAlignment="1">
      <alignment horizontal="center"/>
    </xf>
    <xf numFmtId="0" fontId="1" fillId="0" borderId="33" xfId="0" applyFont="1" applyBorder="1" applyAlignment="1">
      <alignment horizontal="center"/>
    </xf>
    <xf numFmtId="0" fontId="1" fillId="0" borderId="35" xfId="0" applyFont="1" applyBorder="1" applyAlignment="1">
      <alignment horizontal="center"/>
    </xf>
    <xf numFmtId="0" fontId="12" fillId="0" borderId="34" xfId="0" applyFont="1" applyFill="1" applyBorder="1" applyAlignment="1">
      <alignment horizontal="center"/>
    </xf>
    <xf numFmtId="1" fontId="1" fillId="0" borderId="36" xfId="0" applyNumberFormat="1" applyFont="1" applyBorder="1" applyAlignment="1">
      <alignment horizontal="center"/>
    </xf>
    <xf numFmtId="0" fontId="1" fillId="0" borderId="37" xfId="0" applyFont="1" applyBorder="1" applyAlignment="1">
      <alignment horizontal="center"/>
    </xf>
    <xf numFmtId="0" fontId="1" fillId="0" borderId="36" xfId="0" applyFont="1" applyBorder="1" applyAlignment="1">
      <alignment horizontal="center"/>
    </xf>
    <xf numFmtId="0" fontId="1" fillId="0" borderId="38" xfId="0" applyFont="1" applyBorder="1" applyAlignment="1">
      <alignment horizontal="center"/>
    </xf>
    <xf numFmtId="0" fontId="1" fillId="0" borderId="39" xfId="0" applyFont="1" applyBorder="1" applyAlignment="1">
      <alignment horizontal="center"/>
    </xf>
    <xf numFmtId="0" fontId="1" fillId="0" borderId="30" xfId="0" applyFont="1" applyBorder="1" applyAlignment="1">
      <alignment horizontal="center"/>
    </xf>
    <xf numFmtId="0" fontId="1" fillId="0" borderId="28" xfId="0" applyFont="1" applyBorder="1" applyAlignment="1">
      <alignment horizontal="center"/>
    </xf>
    <xf numFmtId="0" fontId="1" fillId="0" borderId="40" xfId="0" applyFont="1" applyBorder="1" applyAlignment="1">
      <alignment horizontal="center"/>
    </xf>
    <xf numFmtId="0" fontId="2" fillId="0" borderId="41" xfId="0" applyFont="1" applyFill="1" applyBorder="1" applyAlignment="1">
      <alignment horizontal="left"/>
    </xf>
    <xf numFmtId="0" fontId="1" fillId="0" borderId="42" xfId="0" applyFont="1" applyFill="1" applyBorder="1"/>
    <xf numFmtId="0" fontId="12" fillId="0" borderId="43" xfId="0" applyFont="1" applyFill="1" applyBorder="1"/>
    <xf numFmtId="0" fontId="1" fillId="0" borderId="15" xfId="0" applyFont="1" applyFill="1" applyBorder="1"/>
    <xf numFmtId="0" fontId="18" fillId="0" borderId="44" xfId="0" applyFont="1" applyFill="1" applyBorder="1"/>
    <xf numFmtId="0" fontId="2" fillId="0" borderId="45" xfId="0" applyFont="1" applyFill="1" applyBorder="1" applyAlignment="1">
      <alignment horizontal="left"/>
    </xf>
    <xf numFmtId="0" fontId="1" fillId="0" borderId="46" xfId="0" applyFont="1" applyFill="1" applyBorder="1"/>
    <xf numFmtId="0" fontId="15" fillId="0" borderId="43" xfId="0" applyFont="1" applyFill="1" applyBorder="1" applyAlignment="1">
      <alignment horizontal="left"/>
    </xf>
    <xf numFmtId="0" fontId="12" fillId="0" borderId="47" xfId="0" applyFont="1" applyFill="1" applyBorder="1" applyAlignment="1">
      <alignment horizontal="left"/>
    </xf>
    <xf numFmtId="0" fontId="12" fillId="0" borderId="25" xfId="0" applyFont="1" applyFill="1" applyBorder="1" applyAlignment="1">
      <alignment horizontal="left"/>
    </xf>
    <xf numFmtId="0" fontId="1" fillId="0" borderId="11" xfId="0" applyFont="1" applyFill="1" applyBorder="1" applyAlignment="1" applyProtection="1">
      <alignment horizontal="left"/>
      <protection locked="0"/>
    </xf>
    <xf numFmtId="1" fontId="1" fillId="0" borderId="26" xfId="0" applyNumberFormat="1" applyFont="1" applyFill="1" applyBorder="1" applyAlignment="1" applyProtection="1">
      <alignment horizontal="left"/>
      <protection locked="0"/>
    </xf>
    <xf numFmtId="0" fontId="12" fillId="0" borderId="26" xfId="0" applyFont="1" applyFill="1" applyBorder="1" applyAlignment="1" applyProtection="1">
      <alignment horizontal="left"/>
      <protection locked="0"/>
    </xf>
    <xf numFmtId="0" fontId="1" fillId="0" borderId="48" xfId="0" applyFont="1" applyFill="1" applyBorder="1" applyAlignment="1" applyProtection="1">
      <alignment horizontal="left"/>
      <protection locked="0"/>
    </xf>
    <xf numFmtId="0" fontId="1" fillId="0" borderId="7" xfId="0" applyFont="1" applyFill="1" applyBorder="1" applyAlignment="1">
      <alignment horizontal="center"/>
    </xf>
    <xf numFmtId="1" fontId="1" fillId="0" borderId="26" xfId="0" applyNumberFormat="1" applyFont="1" applyFill="1" applyBorder="1" applyAlignment="1">
      <alignment horizontal="center"/>
    </xf>
    <xf numFmtId="0" fontId="1" fillId="0" borderId="8" xfId="0" applyFont="1" applyFill="1" applyBorder="1" applyAlignment="1">
      <alignment horizontal="center"/>
    </xf>
    <xf numFmtId="0" fontId="1" fillId="0" borderId="26" xfId="0" applyFont="1" applyFill="1" applyBorder="1" applyAlignment="1">
      <alignment horizontal="center"/>
    </xf>
    <xf numFmtId="0" fontId="1" fillId="0" borderId="21" xfId="0" applyFont="1" applyFill="1" applyBorder="1" applyAlignment="1">
      <alignment horizontal="center"/>
    </xf>
    <xf numFmtId="0" fontId="12" fillId="0" borderId="22" xfId="0" applyFont="1" applyFill="1" applyBorder="1" applyAlignment="1">
      <alignment horizontal="center"/>
    </xf>
    <xf numFmtId="0" fontId="12" fillId="0" borderId="23" xfId="0" applyFont="1" applyFill="1" applyBorder="1" applyAlignment="1">
      <alignment horizontal="center"/>
    </xf>
    <xf numFmtId="0" fontId="12" fillId="0" borderId="24" xfId="0" applyFont="1" applyFill="1" applyBorder="1" applyAlignment="1">
      <alignment horizontal="center"/>
    </xf>
    <xf numFmtId="0" fontId="12" fillId="0" borderId="9" xfId="0" applyFont="1" applyFill="1" applyBorder="1" applyAlignment="1">
      <alignment horizontal="center"/>
    </xf>
    <xf numFmtId="188" fontId="19" fillId="0" borderId="16" xfId="0" applyNumberFormat="1" applyFont="1" applyFill="1" applyBorder="1" applyAlignment="1">
      <alignment horizontal="left"/>
    </xf>
    <xf numFmtId="0" fontId="19" fillId="0" borderId="1" xfId="0" applyFont="1" applyFill="1" applyBorder="1"/>
    <xf numFmtId="0" fontId="1" fillId="4" borderId="20" xfId="0" applyFont="1" applyFill="1" applyBorder="1" applyAlignment="1" applyProtection="1">
      <alignment horizontal="left"/>
      <protection locked="0"/>
    </xf>
    <xf numFmtId="1" fontId="1" fillId="4" borderId="7" xfId="0" applyNumberFormat="1" applyFont="1" applyFill="1" applyBorder="1" applyAlignment="1" applyProtection="1">
      <alignment horizontal="center"/>
      <protection locked="0"/>
    </xf>
    <xf numFmtId="1" fontId="1" fillId="4" borderId="9" xfId="0" applyNumberFormat="1" applyFont="1" applyFill="1" applyBorder="1" applyAlignment="1">
      <alignment horizontal="center"/>
    </xf>
    <xf numFmtId="2" fontId="1" fillId="4" borderId="7" xfId="0" applyNumberFormat="1" applyFont="1" applyFill="1" applyBorder="1" applyAlignment="1" applyProtection="1">
      <alignment horizontal="center"/>
      <protection locked="0"/>
    </xf>
    <xf numFmtId="189" fontId="1" fillId="4" borderId="7" xfId="0" applyNumberFormat="1" applyFont="1" applyFill="1" applyBorder="1" applyAlignment="1" applyProtection="1">
      <alignment horizontal="center"/>
      <protection locked="0"/>
    </xf>
    <xf numFmtId="2" fontId="12" fillId="4" borderId="7" xfId="0" applyNumberFormat="1" applyFont="1" applyFill="1" applyBorder="1" applyAlignment="1" applyProtection="1">
      <alignment horizontal="center"/>
      <protection locked="0"/>
    </xf>
    <xf numFmtId="189" fontId="12" fillId="4" borderId="7" xfId="0" applyNumberFormat="1" applyFont="1" applyFill="1" applyBorder="1" applyAlignment="1" applyProtection="1">
      <alignment horizontal="center"/>
      <protection locked="0"/>
    </xf>
    <xf numFmtId="1" fontId="12" fillId="4" borderId="9" xfId="0" applyNumberFormat="1" applyFont="1" applyFill="1" applyBorder="1" applyAlignment="1">
      <alignment horizontal="center"/>
    </xf>
    <xf numFmtId="189" fontId="1" fillId="4" borderId="9" xfId="0" applyNumberFormat="1" applyFont="1" applyFill="1" applyBorder="1" applyAlignment="1">
      <alignment horizontal="center"/>
    </xf>
    <xf numFmtId="1" fontId="1" fillId="4" borderId="8" xfId="0" applyNumberFormat="1" applyFont="1" applyFill="1" applyBorder="1" applyAlignment="1" applyProtection="1">
      <alignment horizontal="center"/>
      <protection locked="0"/>
    </xf>
    <xf numFmtId="188" fontId="1" fillId="4" borderId="7" xfId="0" applyNumberFormat="1" applyFont="1" applyFill="1" applyBorder="1" applyAlignment="1" applyProtection="1">
      <alignment horizontal="center"/>
      <protection locked="0"/>
    </xf>
    <xf numFmtId="2" fontId="1" fillId="4" borderId="8" xfId="0" applyNumberFormat="1" applyFont="1" applyFill="1" applyBorder="1" applyAlignment="1" applyProtection="1">
      <alignment horizontal="center"/>
      <protection locked="0"/>
    </xf>
    <xf numFmtId="189" fontId="1" fillId="4" borderId="8" xfId="0" applyNumberFormat="1" applyFont="1" applyFill="1" applyBorder="1" applyAlignment="1" applyProtection="1">
      <alignment horizontal="center"/>
      <protection locked="0"/>
    </xf>
    <xf numFmtId="190" fontId="1" fillId="4" borderId="21" xfId="0" applyNumberFormat="1" applyFont="1" applyFill="1" applyBorder="1" applyAlignment="1" applyProtection="1">
      <alignment horizontal="center"/>
      <protection locked="0"/>
    </xf>
    <xf numFmtId="2" fontId="1" fillId="4" borderId="22" xfId="0" applyNumberFormat="1" applyFont="1" applyFill="1" applyBorder="1" applyAlignment="1" applyProtection="1">
      <alignment horizontal="center"/>
      <protection locked="0"/>
    </xf>
    <xf numFmtId="188" fontId="1" fillId="4" borderId="23" xfId="0" applyNumberFormat="1" applyFont="1" applyFill="1" applyBorder="1" applyAlignment="1" applyProtection="1">
      <alignment horizontal="center"/>
      <protection locked="0"/>
    </xf>
    <xf numFmtId="188" fontId="1" fillId="4" borderId="24" xfId="0" applyNumberFormat="1" applyFont="1" applyFill="1" applyBorder="1" applyAlignment="1" applyProtection="1">
      <alignment horizontal="center"/>
      <protection locked="0"/>
    </xf>
    <xf numFmtId="0" fontId="1" fillId="0" borderId="1" xfId="0" applyFont="1" applyFill="1" applyBorder="1"/>
    <xf numFmtId="2" fontId="1" fillId="4" borderId="9" xfId="0" applyNumberFormat="1" applyFont="1" applyFill="1" applyBorder="1" applyAlignment="1">
      <alignment horizontal="center"/>
    </xf>
    <xf numFmtId="189" fontId="1" fillId="4" borderId="9" xfId="0" applyNumberFormat="1" applyFont="1" applyFill="1" applyBorder="1" applyAlignment="1" applyProtection="1">
      <alignment horizontal="center"/>
      <protection locked="0"/>
    </xf>
    <xf numFmtId="0" fontId="15" fillId="0" borderId="49" xfId="0" applyFont="1" applyFill="1" applyBorder="1" applyAlignment="1">
      <alignment horizontal="left"/>
    </xf>
    <xf numFmtId="0" fontId="1" fillId="0" borderId="50" xfId="0" applyFont="1" applyFill="1" applyBorder="1" applyAlignment="1" applyProtection="1">
      <alignment horizontal="left"/>
      <protection locked="0"/>
    </xf>
    <xf numFmtId="0" fontId="1" fillId="0" borderId="51" xfId="0" applyFont="1" applyFill="1" applyBorder="1" applyAlignment="1" applyProtection="1">
      <alignment horizontal="left"/>
      <protection locked="0"/>
    </xf>
    <xf numFmtId="1" fontId="1" fillId="0" borderId="52" xfId="0" applyNumberFormat="1" applyFont="1" applyFill="1" applyBorder="1" applyAlignment="1" applyProtection="1">
      <alignment horizontal="center"/>
      <protection locked="0"/>
    </xf>
    <xf numFmtId="2" fontId="1" fillId="0" borderId="52" xfId="0" applyNumberFormat="1" applyFont="1" applyFill="1" applyBorder="1" applyAlignment="1" applyProtection="1">
      <alignment horizontal="center"/>
      <protection locked="0"/>
    </xf>
    <xf numFmtId="189" fontId="1" fillId="0" borderId="52" xfId="0" applyNumberFormat="1" applyFont="1" applyFill="1" applyBorder="1" applyAlignment="1" applyProtection="1">
      <alignment horizontal="center"/>
      <protection locked="0"/>
    </xf>
    <xf numFmtId="1" fontId="1" fillId="0" borderId="50" xfId="0" applyNumberFormat="1" applyFont="1" applyFill="1" applyBorder="1" applyAlignment="1">
      <alignment horizontal="center"/>
    </xf>
    <xf numFmtId="1" fontId="1" fillId="0" borderId="53" xfId="0" applyNumberFormat="1" applyFont="1" applyFill="1" applyBorder="1" applyAlignment="1" applyProtection="1">
      <alignment horizontal="center"/>
      <protection locked="0"/>
    </xf>
    <xf numFmtId="188" fontId="1" fillId="0" borderId="52" xfId="0" applyNumberFormat="1" applyFont="1" applyFill="1" applyBorder="1" applyAlignment="1" applyProtection="1">
      <alignment horizontal="center"/>
      <protection locked="0"/>
    </xf>
    <xf numFmtId="2" fontId="1" fillId="0" borderId="53" xfId="0" applyNumberFormat="1" applyFont="1" applyFill="1" applyBorder="1" applyAlignment="1" applyProtection="1">
      <alignment horizontal="center"/>
      <protection locked="0"/>
    </xf>
    <xf numFmtId="189" fontId="1" fillId="0" borderId="53" xfId="0" applyNumberFormat="1" applyFont="1" applyFill="1" applyBorder="1" applyAlignment="1" applyProtection="1">
      <alignment horizontal="center"/>
      <protection locked="0"/>
    </xf>
    <xf numFmtId="190" fontId="1" fillId="0" borderId="54" xfId="0" applyNumberFormat="1" applyFont="1" applyFill="1" applyBorder="1" applyAlignment="1" applyProtection="1">
      <alignment horizontal="center"/>
      <protection locked="0"/>
    </xf>
    <xf numFmtId="188" fontId="1" fillId="0" borderId="51" xfId="0" applyNumberFormat="1" applyFont="1" applyFill="1" applyBorder="1" applyAlignment="1" applyProtection="1">
      <alignment horizontal="center"/>
      <protection locked="0"/>
    </xf>
    <xf numFmtId="189" fontId="1" fillId="0" borderId="50" xfId="0" applyNumberFormat="1" applyFont="1" applyFill="1" applyBorder="1" applyAlignment="1" applyProtection="1">
      <alignment horizontal="center"/>
      <protection locked="0"/>
    </xf>
    <xf numFmtId="0" fontId="12" fillId="0" borderId="47" xfId="0" applyFont="1" applyFill="1" applyBorder="1" applyAlignment="1" applyProtection="1">
      <alignment horizontal="left"/>
      <protection locked="0"/>
    </xf>
    <xf numFmtId="0" fontId="1" fillId="0" borderId="0" xfId="0" applyFont="1" applyFill="1" applyBorder="1"/>
    <xf numFmtId="0" fontId="1" fillId="0" borderId="22" xfId="0" applyFont="1" applyFill="1" applyBorder="1" applyAlignment="1" applyProtection="1">
      <alignment horizontal="left"/>
      <protection locked="0"/>
    </xf>
    <xf numFmtId="0" fontId="1" fillId="0" borderId="55" xfId="0" applyFont="1" applyFill="1" applyBorder="1"/>
    <xf numFmtId="0" fontId="1" fillId="0" borderId="43" xfId="0" applyFont="1" applyFill="1" applyBorder="1" applyAlignment="1" applyProtection="1">
      <alignment horizontal="left"/>
      <protection locked="0"/>
    </xf>
    <xf numFmtId="2" fontId="1" fillId="0" borderId="43" xfId="0" applyNumberFormat="1" applyFont="1" applyFill="1" applyBorder="1" applyAlignment="1" applyProtection="1">
      <alignment horizontal="center"/>
      <protection locked="0"/>
    </xf>
    <xf numFmtId="0" fontId="1" fillId="0" borderId="56" xfId="0" applyFont="1" applyFill="1" applyBorder="1" applyAlignment="1" applyProtection="1">
      <alignment horizontal="left"/>
      <protection locked="0"/>
    </xf>
    <xf numFmtId="0" fontId="20" fillId="0" borderId="16" xfId="0" applyFont="1" applyFill="1" applyBorder="1"/>
    <xf numFmtId="0" fontId="19" fillId="0" borderId="16" xfId="0" applyFont="1" applyFill="1" applyBorder="1"/>
    <xf numFmtId="188" fontId="19" fillId="0" borderId="57" xfId="0" applyNumberFormat="1" applyFont="1" applyFill="1" applyBorder="1" applyAlignment="1" applyProtection="1">
      <alignment horizontal="left"/>
      <protection locked="0"/>
    </xf>
    <xf numFmtId="0" fontId="1" fillId="0" borderId="41" xfId="0" applyFont="1" applyBorder="1"/>
    <xf numFmtId="0" fontId="5" fillId="5" borderId="58" xfId="0" applyFont="1" applyFill="1" applyBorder="1"/>
    <xf numFmtId="0" fontId="4" fillId="5" borderId="59" xfId="0" applyFont="1" applyFill="1" applyBorder="1"/>
    <xf numFmtId="0" fontId="3" fillId="6" borderId="41" xfId="0" applyFont="1" applyFill="1" applyBorder="1" applyAlignment="1">
      <alignment horizontal="left"/>
    </xf>
    <xf numFmtId="1" fontId="4" fillId="6" borderId="41" xfId="0" applyNumberFormat="1" applyFont="1" applyFill="1" applyBorder="1"/>
    <xf numFmtId="0" fontId="4" fillId="6" borderId="41" xfId="0" applyFont="1" applyFill="1" applyBorder="1"/>
    <xf numFmtId="0" fontId="4" fillId="6" borderId="6" xfId="0" applyFont="1" applyFill="1" applyBorder="1"/>
    <xf numFmtId="0" fontId="5" fillId="6" borderId="41" xfId="0" applyFont="1" applyFill="1" applyBorder="1" applyAlignment="1">
      <alignment horizontal="center"/>
    </xf>
    <xf numFmtId="0" fontId="5" fillId="6" borderId="60" xfId="0" applyFont="1" applyFill="1" applyBorder="1" applyAlignment="1">
      <alignment horizontal="center"/>
    </xf>
    <xf numFmtId="0" fontId="5" fillId="6" borderId="61" xfId="0" applyFont="1" applyFill="1" applyBorder="1" applyAlignment="1">
      <alignment horizontal="center"/>
    </xf>
    <xf numFmtId="0" fontId="5" fillId="6" borderId="62" xfId="0" applyFont="1" applyFill="1" applyBorder="1" applyAlignment="1">
      <alignment horizontal="center"/>
    </xf>
    <xf numFmtId="0" fontId="4" fillId="6" borderId="5" xfId="0" applyFont="1" applyFill="1" applyBorder="1"/>
    <xf numFmtId="0" fontId="5" fillId="6" borderId="0" xfId="0" applyFont="1" applyFill="1" applyBorder="1" applyAlignment="1">
      <alignment horizontal="left"/>
    </xf>
    <xf numFmtId="0" fontId="4" fillId="6" borderId="1" xfId="0" applyFont="1" applyFill="1" applyBorder="1" applyAlignment="1">
      <alignment horizontal="right"/>
    </xf>
    <xf numFmtId="0" fontId="4" fillId="6" borderId="0" xfId="0" applyFont="1" applyFill="1" applyBorder="1" applyAlignment="1">
      <alignment horizontal="right"/>
    </xf>
    <xf numFmtId="0" fontId="5" fillId="6" borderId="63" xfId="0" applyFont="1" applyFill="1" applyBorder="1" applyAlignment="1">
      <alignment horizontal="center"/>
    </xf>
    <xf numFmtId="0" fontId="7" fillId="6" borderId="64" xfId="0" applyFont="1" applyFill="1" applyBorder="1" applyAlignment="1">
      <alignment horizontal="center"/>
    </xf>
    <xf numFmtId="0" fontId="5" fillId="6" borderId="65" xfId="0" applyFont="1" applyFill="1" applyBorder="1" applyAlignment="1">
      <alignment horizontal="center"/>
    </xf>
    <xf numFmtId="0" fontId="5" fillId="6" borderId="16" xfId="0" applyFont="1" applyFill="1" applyBorder="1" applyAlignment="1">
      <alignment horizontal="center"/>
    </xf>
    <xf numFmtId="0" fontId="8" fillId="6" borderId="66" xfId="0" applyFont="1" applyFill="1" applyBorder="1" applyAlignment="1">
      <alignment horizontal="left"/>
    </xf>
    <xf numFmtId="0" fontId="7" fillId="6" borderId="67" xfId="0" applyFont="1" applyFill="1" applyBorder="1" applyAlignment="1">
      <alignment horizontal="right"/>
    </xf>
    <xf numFmtId="0" fontId="7" fillId="6" borderId="66" xfId="0" applyFont="1" applyFill="1" applyBorder="1" applyAlignment="1">
      <alignment horizontal="right"/>
    </xf>
    <xf numFmtId="1" fontId="7" fillId="6" borderId="66" xfId="0" applyNumberFormat="1" applyFont="1" applyFill="1" applyBorder="1" applyAlignment="1">
      <alignment horizontal="right"/>
    </xf>
    <xf numFmtId="1" fontId="7" fillId="6" borderId="67" xfId="0" applyNumberFormat="1" applyFont="1" applyFill="1" applyBorder="1" applyAlignment="1">
      <alignment horizontal="center"/>
    </xf>
    <xf numFmtId="0" fontId="7" fillId="6" borderId="67" xfId="0" applyFont="1" applyFill="1" applyBorder="1" applyAlignment="1">
      <alignment horizontal="center"/>
    </xf>
    <xf numFmtId="0" fontId="7" fillId="6" borderId="66" xfId="0" applyFont="1" applyFill="1" applyBorder="1" applyAlignment="1">
      <alignment horizontal="center"/>
    </xf>
    <xf numFmtId="0" fontId="7" fillId="6" borderId="68" xfId="0" applyFont="1" applyFill="1" applyBorder="1" applyAlignment="1">
      <alignment horizontal="center"/>
    </xf>
    <xf numFmtId="0" fontId="7" fillId="6" borderId="69" xfId="0" applyFont="1" applyFill="1" applyBorder="1" applyAlignment="1">
      <alignment horizontal="center"/>
    </xf>
    <xf numFmtId="0" fontId="7" fillId="6" borderId="70" xfId="0" applyFont="1" applyFill="1" applyBorder="1" applyAlignment="1">
      <alignment horizontal="center"/>
    </xf>
    <xf numFmtId="0" fontId="7" fillId="6" borderId="71" xfId="0" applyFont="1" applyFill="1" applyBorder="1" applyAlignment="1">
      <alignment horizontal="center"/>
    </xf>
    <xf numFmtId="0" fontId="11" fillId="6" borderId="16" xfId="0" applyFont="1" applyFill="1" applyBorder="1" applyAlignment="1">
      <alignment horizontal="left" wrapText="1"/>
    </xf>
    <xf numFmtId="0" fontId="7" fillId="6" borderId="16" xfId="0" applyFont="1" applyFill="1" applyBorder="1"/>
    <xf numFmtId="0" fontId="1" fillId="0" borderId="0" xfId="0" applyFont="1" applyFill="1" applyBorder="1" applyProtection="1">
      <protection locked="0"/>
    </xf>
    <xf numFmtId="0" fontId="22" fillId="0" borderId="1" xfId="0" applyFont="1" applyFill="1" applyBorder="1" applyProtection="1">
      <protection locked="0"/>
    </xf>
    <xf numFmtId="0" fontId="5" fillId="7" borderId="16" xfId="0" applyFont="1" applyFill="1" applyBorder="1" applyAlignment="1">
      <alignment horizontal="center"/>
    </xf>
    <xf numFmtId="188" fontId="19" fillId="0" borderId="16" xfId="0" applyNumberFormat="1" applyFont="1" applyFill="1" applyBorder="1" applyAlignment="1" applyProtection="1">
      <alignment horizontal="left" wrapText="1"/>
      <protection locked="0"/>
    </xf>
    <xf numFmtId="1" fontId="1" fillId="0" borderId="9" xfId="0" applyNumberFormat="1" applyFont="1" applyFill="1" applyBorder="1" applyAlignment="1">
      <alignment horizontal="left"/>
    </xf>
    <xf numFmtId="190" fontId="1" fillId="0" borderId="7" xfId="0" applyNumberFormat="1" applyFont="1" applyFill="1" applyBorder="1" applyAlignment="1" applyProtection="1">
      <alignment horizontal="center"/>
      <protection locked="0"/>
    </xf>
    <xf numFmtId="0" fontId="1" fillId="8" borderId="9" xfId="0" applyFont="1" applyFill="1" applyBorder="1" applyAlignment="1" applyProtection="1">
      <alignment horizontal="left"/>
      <protection locked="0"/>
    </xf>
    <xf numFmtId="0" fontId="1" fillId="8" borderId="56" xfId="0" applyFont="1" applyFill="1" applyBorder="1" applyAlignment="1" applyProtection="1">
      <alignment horizontal="left"/>
      <protection locked="0"/>
    </xf>
    <xf numFmtId="1" fontId="1" fillId="8" borderId="7" xfId="0" applyNumberFormat="1" applyFont="1" applyFill="1" applyBorder="1" applyAlignment="1" applyProtection="1">
      <alignment horizontal="center"/>
      <protection locked="0"/>
    </xf>
    <xf numFmtId="2" fontId="1" fillId="8" borderId="7" xfId="0" applyNumberFormat="1" applyFont="1" applyFill="1" applyBorder="1" applyAlignment="1" applyProtection="1">
      <alignment horizontal="center"/>
      <protection locked="0"/>
    </xf>
    <xf numFmtId="189" fontId="1" fillId="8" borderId="7" xfId="0" applyNumberFormat="1" applyFont="1" applyFill="1" applyBorder="1" applyAlignment="1" applyProtection="1">
      <alignment horizontal="center"/>
      <protection locked="0"/>
    </xf>
    <xf numFmtId="1" fontId="1" fillId="8" borderId="9" xfId="0" applyNumberFormat="1" applyFont="1" applyFill="1" applyBorder="1" applyAlignment="1">
      <alignment horizontal="center"/>
    </xf>
    <xf numFmtId="1" fontId="1" fillId="8" borderId="8" xfId="0" applyNumberFormat="1" applyFont="1" applyFill="1" applyBorder="1" applyAlignment="1" applyProtection="1">
      <alignment horizontal="center"/>
      <protection locked="0"/>
    </xf>
    <xf numFmtId="188" fontId="1" fillId="8" borderId="7" xfId="0" applyNumberFormat="1" applyFont="1" applyFill="1" applyBorder="1" applyAlignment="1" applyProtection="1">
      <alignment horizontal="center"/>
      <protection locked="0"/>
    </xf>
    <xf numFmtId="2" fontId="1" fillId="8" borderId="8" xfId="0" applyNumberFormat="1" applyFont="1" applyFill="1" applyBorder="1" applyAlignment="1" applyProtection="1">
      <alignment horizontal="center"/>
      <protection locked="0"/>
    </xf>
    <xf numFmtId="189" fontId="1" fillId="8" borderId="8" xfId="0" applyNumberFormat="1" applyFont="1" applyFill="1" applyBorder="1" applyAlignment="1" applyProtection="1">
      <alignment horizontal="center"/>
      <protection locked="0"/>
    </xf>
    <xf numFmtId="190" fontId="1" fillId="8" borderId="21" xfId="0" applyNumberFormat="1" applyFont="1" applyFill="1" applyBorder="1" applyAlignment="1" applyProtection="1">
      <alignment horizontal="center"/>
      <protection locked="0"/>
    </xf>
    <xf numFmtId="2" fontId="1" fillId="8" borderId="22" xfId="0" applyNumberFormat="1" applyFont="1" applyFill="1" applyBorder="1" applyAlignment="1" applyProtection="1">
      <alignment horizontal="center"/>
      <protection locked="0"/>
    </xf>
    <xf numFmtId="188" fontId="1" fillId="8" borderId="23" xfId="0" applyNumberFormat="1" applyFont="1" applyFill="1" applyBorder="1" applyAlignment="1" applyProtection="1">
      <alignment horizontal="center"/>
      <protection locked="0"/>
    </xf>
    <xf numFmtId="188" fontId="1" fillId="8" borderId="24" xfId="0" applyNumberFormat="1" applyFont="1" applyFill="1" applyBorder="1" applyAlignment="1" applyProtection="1">
      <alignment horizontal="center"/>
      <protection locked="0"/>
    </xf>
    <xf numFmtId="189" fontId="1" fillId="8" borderId="9" xfId="0" applyNumberFormat="1" applyFont="1" applyFill="1" applyBorder="1" applyAlignment="1" applyProtection="1">
      <alignment horizontal="center"/>
      <protection locked="0"/>
    </xf>
    <xf numFmtId="188" fontId="23" fillId="0" borderId="16" xfId="0" applyNumberFormat="1" applyFont="1" applyFill="1" applyBorder="1" applyAlignment="1" applyProtection="1">
      <alignment horizontal="left" wrapText="1" indent="1"/>
      <protection locked="0"/>
    </xf>
    <xf numFmtId="0" fontId="3" fillId="6" borderId="72" xfId="0" applyFont="1" applyFill="1" applyBorder="1" applyAlignment="1">
      <alignment horizontal="left"/>
    </xf>
    <xf numFmtId="0" fontId="3" fillId="6" borderId="6" xfId="0" applyFont="1" applyFill="1" applyBorder="1" applyAlignment="1">
      <alignment horizontal="left"/>
    </xf>
    <xf numFmtId="0" fontId="5" fillId="6" borderId="73" xfId="0" applyFont="1" applyFill="1" applyBorder="1" applyAlignment="1">
      <alignment horizontal="center"/>
    </xf>
    <xf numFmtId="0" fontId="5" fillId="6" borderId="41" xfId="0" applyFont="1" applyFill="1" applyBorder="1" applyAlignment="1">
      <alignment horizontal="center"/>
    </xf>
    <xf numFmtId="0" fontId="6" fillId="6" borderId="6" xfId="0" applyFont="1" applyFill="1" applyBorder="1" applyAlignment="1">
      <alignment horizontal="center"/>
    </xf>
    <xf numFmtId="0" fontId="5" fillId="6" borderId="0" xfId="0" applyFont="1" applyFill="1" applyBorder="1" applyAlignment="1">
      <alignment horizontal="center"/>
    </xf>
    <xf numFmtId="0" fontId="5" fillId="6" borderId="1" xfId="0" applyFont="1" applyFill="1" applyBorder="1" applyAlignment="1">
      <alignment horizontal="center"/>
    </xf>
    <xf numFmtId="0" fontId="5" fillId="6" borderId="74" xfId="0" applyFont="1" applyFill="1" applyBorder="1" applyAlignment="1">
      <alignment horizontal="center"/>
    </xf>
  </cellXfs>
  <cellStyles count="1">
    <cellStyle name="Standard" xfId="0" builtinId="0"/>
  </cellStyles>
  <dxfs count="8">
    <dxf>
      <font>
        <b val="0"/>
        <i/>
        <condense val="0"/>
        <extend val="0"/>
      </font>
      <fill>
        <patternFill>
          <bgColor indexed="22"/>
        </patternFill>
      </fill>
    </dxf>
    <dxf>
      <font>
        <b val="0"/>
        <i/>
        <condense val="0"/>
        <extend val="0"/>
      </font>
      <fill>
        <patternFill>
          <bgColor indexed="22"/>
        </patternFill>
      </fill>
    </dxf>
    <dxf>
      <font>
        <b val="0"/>
        <i/>
        <condense val="0"/>
        <extend val="0"/>
      </font>
      <fill>
        <patternFill>
          <bgColor indexed="22"/>
        </patternFill>
      </fill>
    </dxf>
    <dxf>
      <font>
        <b val="0"/>
        <i/>
        <condense val="0"/>
        <extend val="0"/>
      </font>
      <fill>
        <patternFill>
          <bgColor indexed="22"/>
        </patternFill>
      </fill>
    </dxf>
    <dxf>
      <font>
        <b val="0"/>
        <i/>
        <condense val="0"/>
        <extend val="0"/>
      </font>
      <fill>
        <patternFill>
          <bgColor indexed="22"/>
        </patternFill>
      </fill>
    </dxf>
    <dxf>
      <font>
        <b val="0"/>
        <i/>
        <condense val="0"/>
        <extend val="0"/>
      </font>
      <fill>
        <patternFill>
          <bgColor indexed="22"/>
        </patternFill>
      </fill>
    </dxf>
    <dxf>
      <font>
        <b val="0"/>
        <i/>
        <condense val="0"/>
        <extend val="0"/>
      </font>
      <fill>
        <patternFill>
          <bgColor indexed="22"/>
        </patternFill>
      </fill>
    </dxf>
    <dxf>
      <font>
        <b val="0"/>
        <i/>
        <condense val="0"/>
        <extend val="0"/>
      </font>
      <fill>
        <patternFill>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DDDDD"/>
      <rgbColor rgb="000000FF"/>
      <rgbColor rgb="00505A91"/>
      <rgbColor rgb="00CDD20A"/>
      <rgbColor rgb="00B2B2B2"/>
      <rgbColor rgb="00800000"/>
      <rgbColor rgb="00008000"/>
      <rgbColor rgb="00000080"/>
      <rgbColor rgb="003C6919"/>
      <rgbColor rgb="00800080"/>
      <rgbColor rgb="00008080"/>
      <rgbColor rgb="00A0BE91"/>
      <rgbColor rgb="00808080"/>
      <rgbColor rgb="00B3B3B3"/>
      <rgbColor rgb="00CDD20A"/>
      <rgbColor rgb="003C6919"/>
      <rgbColor rgb="00505A91"/>
      <rgbColor rgb="00660066"/>
      <rgbColor rgb="00FF8080"/>
      <rgbColor rgb="000066CC"/>
      <rgbColor rgb="00CCCCFF"/>
      <rgbColor rgb="00000080"/>
      <rgbColor rgb="00EBEB32"/>
      <rgbColor rgb="00A0BE91"/>
      <rgbColor rgb="00C8D2F5"/>
      <rgbColor rgb="00800080"/>
      <rgbColor rgb="00800000"/>
      <rgbColor rgb="00008080"/>
      <rgbColor rgb="000000FF"/>
      <rgbColor rgb="00808080"/>
      <rgbColor rgb="00969696"/>
      <rgbColor rgb="00C0C0C0"/>
      <rgbColor rgb="00C8D2F5"/>
      <rgbColor rgb="00777777"/>
      <rgbColor rgb="00EBEB96"/>
      <rgbColor rgb="004D4D4D"/>
      <rgbColor rgb="00A0BE91"/>
      <rgbColor rgb="003366FF"/>
      <rgbColor rgb="0033CCCC"/>
      <rgbColor rgb="00CDD20A"/>
      <rgbColor rgb="003C6919"/>
      <rgbColor rgb="00FF9900"/>
      <rgbColor rgb="00FF6600"/>
      <rgbColor rgb="00505A91"/>
      <rgbColor rgb="00969696"/>
      <rgbColor rgb="00003366"/>
      <rgbColor rgb="00339966"/>
      <rgbColor rgb="00003300"/>
      <rgbColor rgb="00333300"/>
      <rgbColor rgb="00993300"/>
      <rgbColor rgb="005F5F5F"/>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www.biograce.net/"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http://ec.europa.eu/intelligentenergy"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923925</xdr:colOff>
      <xdr:row>0</xdr:row>
      <xdr:rowOff>1295400</xdr:rowOff>
    </xdr:to>
    <xdr:pic>
      <xdr:nvPicPr>
        <xdr:cNvPr id="1218" name="Picture 24" descr="Header_Calculator_300dpi_rgb">
          <a:extLst>
            <a:ext uri="{FF2B5EF4-FFF2-40B4-BE49-F238E27FC236}">
              <a16:creationId xmlns:a16="http://schemas.microsoft.com/office/drawing/2014/main" id="{A427566C-C2DA-41E8-AD11-2D3404CA8F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7349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0</xdr:row>
      <xdr:rowOff>0</xdr:rowOff>
    </xdr:from>
    <xdr:to>
      <xdr:col>20</xdr:col>
      <xdr:colOff>8039100</xdr:colOff>
      <xdr:row>0</xdr:row>
      <xdr:rowOff>1295400</xdr:rowOff>
    </xdr:to>
    <xdr:pic>
      <xdr:nvPicPr>
        <xdr:cNvPr id="1219" name="Picture 25" descr="Header_Ziffern_300dpi_rgb">
          <a:extLst>
            <a:ext uri="{FF2B5EF4-FFF2-40B4-BE49-F238E27FC236}">
              <a16:creationId xmlns:a16="http://schemas.microsoft.com/office/drawing/2014/main" id="{216DE16F-4095-42FD-973C-88E22CBD3D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44450" y="0"/>
          <a:ext cx="128778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2571750</xdr:colOff>
      <xdr:row>0</xdr:row>
      <xdr:rowOff>0</xdr:rowOff>
    </xdr:from>
    <xdr:to>
      <xdr:col>22</xdr:col>
      <xdr:colOff>152400</xdr:colOff>
      <xdr:row>0</xdr:row>
      <xdr:rowOff>1295400</xdr:rowOff>
    </xdr:to>
    <xdr:pic>
      <xdr:nvPicPr>
        <xdr:cNvPr id="1220" name="Picture 26" descr="Header_Ziffern_300dpi_rgb">
          <a:extLst>
            <a:ext uri="{FF2B5EF4-FFF2-40B4-BE49-F238E27FC236}">
              <a16:creationId xmlns:a16="http://schemas.microsoft.com/office/drawing/2014/main" id="{0359050C-EF8C-4E8C-AA49-97915D2382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154900" y="0"/>
          <a:ext cx="128778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636270</xdr:colOff>
      <xdr:row>0</xdr:row>
      <xdr:rowOff>152400</xdr:rowOff>
    </xdr:from>
    <xdr:to>
      <xdr:col>9</xdr:col>
      <xdr:colOff>529590</xdr:colOff>
      <xdr:row>0</xdr:row>
      <xdr:rowOff>312420</xdr:rowOff>
    </xdr:to>
    <xdr:sp macro="" textlink="">
      <xdr:nvSpPr>
        <xdr:cNvPr id="1051" name="WordArt 27">
          <a:hlinkClick xmlns:r="http://schemas.openxmlformats.org/officeDocument/2006/relationships" r:id="rId3"/>
          <a:extLst>
            <a:ext uri="{FF2B5EF4-FFF2-40B4-BE49-F238E27FC236}">
              <a16:creationId xmlns:a16="http://schemas.microsoft.com/office/drawing/2014/main" id="{694A2F7D-D6EB-4422-806F-937D8F8FFD0C}"/>
            </a:ext>
          </a:extLst>
        </xdr:cNvPr>
        <xdr:cNvSpPr>
          <a:spLocks noChangeArrowheads="1" noChangeShapeType="1" noTextEdit="1"/>
        </xdr:cNvSpPr>
      </xdr:nvSpPr>
      <xdr:spPr bwMode="auto">
        <a:xfrm>
          <a:off x="8328660" y="152400"/>
          <a:ext cx="1478280" cy="16002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de-DE" sz="800" kern="10" spc="0">
              <a:ln>
                <a:noFill/>
              </a:ln>
              <a:noFill/>
              <a:effectLst/>
              <a:latin typeface="Arial Black"/>
            </a:rPr>
            <a:t>www.biograce.net</a:t>
          </a:r>
        </a:p>
      </xdr:txBody>
    </xdr:sp>
    <xdr:clientData/>
  </xdr:twoCellAnchor>
  <xdr:twoCellAnchor>
    <xdr:from>
      <xdr:col>10</xdr:col>
      <xdr:colOff>158115</xdr:colOff>
      <xdr:row>0</xdr:row>
      <xdr:rowOff>0</xdr:rowOff>
    </xdr:from>
    <xdr:to>
      <xdr:col>12</xdr:col>
      <xdr:colOff>582903</xdr:colOff>
      <xdr:row>0</xdr:row>
      <xdr:rowOff>266700</xdr:rowOff>
    </xdr:to>
    <xdr:sp macro="" textlink="">
      <xdr:nvSpPr>
        <xdr:cNvPr id="1052" name="WordArt 28">
          <a:hlinkClick xmlns:r="http://schemas.openxmlformats.org/officeDocument/2006/relationships" r:id="rId4"/>
          <a:extLst>
            <a:ext uri="{FF2B5EF4-FFF2-40B4-BE49-F238E27FC236}">
              <a16:creationId xmlns:a16="http://schemas.microsoft.com/office/drawing/2014/main" id="{EA1FAA1C-CE1D-474B-8080-0D5ECF51E4D6}"/>
            </a:ext>
          </a:extLst>
        </xdr:cNvPr>
        <xdr:cNvSpPr>
          <a:spLocks noChangeArrowheads="1" noChangeShapeType="1" noTextEdit="1"/>
        </xdr:cNvSpPr>
      </xdr:nvSpPr>
      <xdr:spPr bwMode="auto">
        <a:xfrm>
          <a:off x="10012680" y="0"/>
          <a:ext cx="2042160" cy="266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de-DE" sz="800" kern="10" spc="0">
              <a:ln>
                <a:noFill/>
              </a:ln>
              <a:noFill/>
              <a:effectLst/>
              <a:latin typeface="Arial Black"/>
            </a:rPr>
            <a:t>intelligent energy europe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orst%20Feh/Arbeit/actuelle%20Projekte/7294%20BioGrace/modelle/BioGrace%20GHG%20calculations%20-%20version%204.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Version management"/>
      <sheetName val="Directory"/>
      <sheetName val="Esca"/>
      <sheetName val="LUC"/>
      <sheetName val="N2O emissions IPCC "/>
      <sheetName val="E-Sb"/>
      <sheetName val="E-Wt (not.spec.)"/>
      <sheetName val="E-Wt (Lign-chp)"/>
      <sheetName val="E-Wt (NG-b)"/>
      <sheetName val="E-Wt (NG-chp)"/>
      <sheetName val="E-Wt (Str-chp)"/>
      <sheetName val="E-Co"/>
      <sheetName val="E-Sc"/>
      <sheetName val="F-Rs"/>
      <sheetName val="F-Sf"/>
      <sheetName val="F-Sy"/>
      <sheetName val="F-Po"/>
      <sheetName val="F-Po (CH4 capt)"/>
      <sheetName val="F-Wo"/>
      <sheetName val="H-Rs"/>
      <sheetName val="H-Sf"/>
      <sheetName val="H-Po"/>
      <sheetName val="H-Po (CH4 capt)"/>
      <sheetName val="CNG-wM"/>
      <sheetName val="CNG-dM"/>
      <sheetName val="CNG-OW"/>
      <sheetName val="P-Rs"/>
      <sheetName val="User defined standard values"/>
      <sheetName val="Standard values"/>
    </sheetNames>
    <sheetDataSet>
      <sheetData sheetId="0">
        <row r="80">
          <cell r="B80">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Y220"/>
  <sheetViews>
    <sheetView tabSelected="1" zoomScale="90" zoomScaleNormal="90" workbookViewId="0">
      <pane xSplit="3" ySplit="6" topLeftCell="D7" activePane="bottomRight" state="frozen"/>
      <selection pane="topRight" activeCell="D1" sqref="D1"/>
      <selection pane="bottomLeft" activeCell="A5" sqref="A5"/>
      <selection pane="bottomRight" activeCell="H19" sqref="H19"/>
    </sheetView>
  </sheetViews>
  <sheetFormatPr baseColWidth="10" defaultRowHeight="12.75" x14ac:dyDescent="0.2"/>
  <cols>
    <col min="1" max="1" width="3.140625" style="1" customWidth="1"/>
    <col min="2" max="2" width="4.7109375" style="14" customWidth="1"/>
    <col min="3" max="3" width="60.140625" style="1" customWidth="1"/>
    <col min="4" max="4" width="12" style="1" customWidth="1"/>
    <col min="5" max="5" width="10.7109375" style="12" customWidth="1"/>
    <col min="6" max="7" width="10.7109375" style="1" customWidth="1"/>
    <col min="8" max="8" width="13.7109375" style="12" customWidth="1"/>
    <col min="9" max="9" width="9.42578125" style="1" customWidth="1"/>
    <col min="10" max="10" width="8.5703125" style="1" customWidth="1"/>
    <col min="11" max="11" width="9.5703125" style="1" bestFit="1" customWidth="1"/>
    <col min="12" max="12" width="13.85546875" style="1" customWidth="1"/>
    <col min="13" max="13" width="9.85546875" style="1" customWidth="1"/>
    <col min="14" max="14" width="14" style="1" customWidth="1"/>
    <col min="15" max="15" width="9.42578125" style="1" bestFit="1" customWidth="1"/>
    <col min="16" max="16" width="15.42578125" style="1" bestFit="1" customWidth="1"/>
    <col min="17" max="17" width="11.42578125" style="1" customWidth="1"/>
    <col min="18" max="19" width="10.42578125" style="1" customWidth="1"/>
    <col min="20" max="20" width="15.42578125" style="1" customWidth="1"/>
    <col min="21" max="21" width="159.28515625" style="1" customWidth="1"/>
    <col min="22" max="22" width="70.140625" style="1" customWidth="1"/>
    <col min="23" max="23" width="10.7109375" style="8" customWidth="1"/>
    <col min="24" max="25" width="11.140625" style="1" bestFit="1" customWidth="1"/>
    <col min="26" max="26" width="9.7109375" style="1" bestFit="1" customWidth="1"/>
    <col min="27" max="27" width="11.140625" style="1" bestFit="1" customWidth="1"/>
    <col min="28" max="28" width="11.42578125" style="1" customWidth="1"/>
    <col min="29" max="29" width="11.140625" style="1" bestFit="1" customWidth="1"/>
    <col min="30" max="30" width="11.42578125" style="1" customWidth="1"/>
    <col min="31" max="31" width="11.140625" style="1" bestFit="1" customWidth="1"/>
    <col min="32" max="256" width="9.140625" style="1" customWidth="1"/>
    <col min="257" max="16384" width="11.42578125" style="1"/>
  </cols>
  <sheetData>
    <row r="1" spans="1:25" ht="102.75" customHeight="1" thickBot="1" x14ac:dyDescent="0.25"/>
    <row r="2" spans="1:25" ht="13.5" thickBot="1" x14ac:dyDescent="0.25">
      <c r="B2" s="150" t="s">
        <v>242</v>
      </c>
      <c r="C2" s="151"/>
    </row>
    <row r="3" spans="1:25" ht="13.9" customHeight="1" thickBot="1" x14ac:dyDescent="0.25">
      <c r="W3" s="140"/>
    </row>
    <row r="4" spans="1:25" ht="19.5" x14ac:dyDescent="0.25">
      <c r="A4" s="2"/>
      <c r="B4" s="203" t="s">
        <v>184</v>
      </c>
      <c r="C4" s="204"/>
      <c r="D4" s="152"/>
      <c r="E4" s="153"/>
      <c r="F4" s="154"/>
      <c r="G4" s="154"/>
      <c r="H4" s="153"/>
      <c r="I4" s="154"/>
      <c r="J4" s="154"/>
      <c r="K4" s="154"/>
      <c r="L4" s="155"/>
      <c r="M4" s="154"/>
      <c r="N4" s="156"/>
      <c r="O4" s="157"/>
      <c r="P4" s="158" t="s">
        <v>0</v>
      </c>
      <c r="Q4" s="159" t="s">
        <v>1</v>
      </c>
      <c r="R4" s="205" t="s">
        <v>2</v>
      </c>
      <c r="S4" s="206"/>
      <c r="T4" s="207"/>
      <c r="U4" s="160"/>
      <c r="V4" s="155"/>
      <c r="W4" s="140"/>
    </row>
    <row r="5" spans="1:25" x14ac:dyDescent="0.2">
      <c r="A5" s="2"/>
      <c r="B5" s="161"/>
      <c r="C5" s="162" t="s">
        <v>3</v>
      </c>
      <c r="D5" s="163"/>
      <c r="E5" s="208" t="s">
        <v>4</v>
      </c>
      <c r="F5" s="208"/>
      <c r="G5" s="208"/>
      <c r="H5" s="208"/>
      <c r="I5" s="208"/>
      <c r="J5" s="208"/>
      <c r="K5" s="208"/>
      <c r="L5" s="209"/>
      <c r="M5" s="208" t="s">
        <v>5</v>
      </c>
      <c r="N5" s="208"/>
      <c r="O5" s="164" t="s">
        <v>6</v>
      </c>
      <c r="P5" s="165" t="s">
        <v>7</v>
      </c>
      <c r="Q5" s="166" t="s">
        <v>8</v>
      </c>
      <c r="R5" s="210" t="s">
        <v>9</v>
      </c>
      <c r="S5" s="208"/>
      <c r="T5" s="209"/>
      <c r="U5" s="167" t="s">
        <v>10</v>
      </c>
      <c r="V5" s="183" t="s">
        <v>185</v>
      </c>
      <c r="W5" s="140"/>
    </row>
    <row r="6" spans="1:25" ht="16.5" thickBot="1" x14ac:dyDescent="0.3">
      <c r="A6" s="2"/>
      <c r="B6" s="168"/>
      <c r="C6" s="169" t="s">
        <v>11</v>
      </c>
      <c r="D6" s="170"/>
      <c r="E6" s="171" t="s">
        <v>172</v>
      </c>
      <c r="F6" s="170" t="s">
        <v>12</v>
      </c>
      <c r="G6" s="170" t="s">
        <v>13</v>
      </c>
      <c r="H6" s="172" t="s">
        <v>14</v>
      </c>
      <c r="I6" s="170" t="s">
        <v>15</v>
      </c>
      <c r="J6" s="170" t="s">
        <v>16</v>
      </c>
      <c r="K6" s="170" t="s">
        <v>17</v>
      </c>
      <c r="L6" s="173" t="s">
        <v>18</v>
      </c>
      <c r="M6" s="174" t="s">
        <v>19</v>
      </c>
      <c r="N6" s="174" t="s">
        <v>20</v>
      </c>
      <c r="O6" s="175" t="s">
        <v>21</v>
      </c>
      <c r="P6" s="165" t="s">
        <v>22</v>
      </c>
      <c r="Q6" s="176" t="s">
        <v>23</v>
      </c>
      <c r="R6" s="177" t="s">
        <v>24</v>
      </c>
      <c r="S6" s="178" t="s">
        <v>25</v>
      </c>
      <c r="T6" s="178" t="s">
        <v>247</v>
      </c>
      <c r="U6" s="179"/>
      <c r="V6" s="180"/>
      <c r="W6" s="140"/>
    </row>
    <row r="7" spans="1:25" x14ac:dyDescent="0.2">
      <c r="A7" s="2"/>
      <c r="B7" s="80"/>
      <c r="C7" s="81"/>
      <c r="D7" s="61"/>
      <c r="E7" s="62"/>
      <c r="F7" s="63"/>
      <c r="G7" s="63"/>
      <c r="H7" s="64"/>
      <c r="I7" s="61"/>
      <c r="J7" s="63"/>
      <c r="K7" s="63"/>
      <c r="L7" s="77"/>
      <c r="M7" s="78"/>
      <c r="N7" s="78"/>
      <c r="O7" s="78"/>
      <c r="P7" s="79"/>
      <c r="Q7" s="3"/>
      <c r="R7" s="4"/>
      <c r="S7" s="36"/>
      <c r="T7" s="5"/>
      <c r="U7" s="6"/>
      <c r="V7" s="7"/>
      <c r="W7" s="140"/>
      <c r="X7" s="8"/>
    </row>
    <row r="8" spans="1:25" x14ac:dyDescent="0.2">
      <c r="A8" s="11"/>
      <c r="B8" s="82" t="s">
        <v>67</v>
      </c>
      <c r="C8" s="83"/>
      <c r="D8" s="21"/>
      <c r="E8" s="42"/>
      <c r="F8" s="21"/>
      <c r="G8" s="21"/>
      <c r="H8" s="22"/>
      <c r="I8" s="76"/>
      <c r="J8" s="66"/>
      <c r="K8" s="66"/>
      <c r="L8" s="69"/>
      <c r="M8" s="68"/>
      <c r="N8" s="68"/>
      <c r="O8" s="68"/>
      <c r="P8" s="70"/>
      <c r="Q8" s="26"/>
      <c r="R8" s="27"/>
      <c r="S8" s="37"/>
      <c r="T8" s="28"/>
      <c r="U8" s="29"/>
      <c r="V8" s="122"/>
      <c r="W8" s="140"/>
      <c r="X8" s="8"/>
    </row>
    <row r="9" spans="1:25" ht="14.25" x14ac:dyDescent="0.25">
      <c r="A9" s="11"/>
      <c r="B9" s="84"/>
      <c r="C9" s="83" t="s">
        <v>68</v>
      </c>
      <c r="D9" s="15">
        <v>1</v>
      </c>
      <c r="E9" s="42"/>
      <c r="F9" s="65"/>
      <c r="G9" s="65"/>
      <c r="H9" s="72"/>
      <c r="I9" s="68"/>
      <c r="J9" s="66"/>
      <c r="K9" s="66"/>
      <c r="L9" s="69"/>
      <c r="M9" s="68"/>
      <c r="N9" s="68"/>
      <c r="O9" s="68"/>
      <c r="P9" s="70"/>
      <c r="Q9" s="26"/>
      <c r="R9" s="27"/>
      <c r="S9" s="37"/>
      <c r="T9" s="28"/>
      <c r="U9" s="29"/>
      <c r="V9" s="122"/>
      <c r="W9" s="140"/>
      <c r="X9" s="8"/>
    </row>
    <row r="10" spans="1:25" ht="14.25" x14ac:dyDescent="0.25">
      <c r="A10" s="11"/>
      <c r="B10" s="84"/>
      <c r="C10" s="83" t="s">
        <v>69</v>
      </c>
      <c r="D10" s="15">
        <v>25</v>
      </c>
      <c r="E10" s="42"/>
      <c r="F10" s="66"/>
      <c r="G10" s="66"/>
      <c r="H10" s="67"/>
      <c r="I10" s="68"/>
      <c r="J10" s="66"/>
      <c r="K10" s="66"/>
      <c r="L10" s="69"/>
      <c r="M10" s="68"/>
      <c r="N10" s="68"/>
      <c r="O10" s="68"/>
      <c r="P10" s="70"/>
      <c r="Q10" s="71"/>
      <c r="R10" s="27"/>
      <c r="S10" s="37"/>
      <c r="T10" s="28"/>
      <c r="U10" s="29"/>
      <c r="V10" s="122"/>
      <c r="W10" s="140"/>
      <c r="X10" s="8"/>
    </row>
    <row r="11" spans="1:25" ht="14.25" x14ac:dyDescent="0.25">
      <c r="A11" s="11"/>
      <c r="B11" s="84"/>
      <c r="C11" s="83" t="s">
        <v>70</v>
      </c>
      <c r="D11" s="15">
        <v>298</v>
      </c>
      <c r="E11" s="42"/>
      <c r="F11" s="65"/>
      <c r="G11" s="65"/>
      <c r="H11" s="72"/>
      <c r="I11" s="73"/>
      <c r="J11" s="65"/>
      <c r="K11" s="65"/>
      <c r="L11" s="74"/>
      <c r="M11" s="73"/>
      <c r="N11" s="73"/>
      <c r="O11" s="73"/>
      <c r="P11" s="75"/>
      <c r="Q11" s="26"/>
      <c r="R11" s="27"/>
      <c r="S11" s="37"/>
      <c r="T11" s="28"/>
      <c r="U11" s="29"/>
      <c r="V11" s="122"/>
      <c r="W11" s="140"/>
      <c r="X11" s="8"/>
    </row>
    <row r="12" spans="1:25" x14ac:dyDescent="0.2">
      <c r="A12" s="11"/>
      <c r="B12" s="85"/>
      <c r="C12" s="86"/>
      <c r="D12" s="41"/>
      <c r="E12" s="42"/>
      <c r="F12" s="66"/>
      <c r="G12" s="21"/>
      <c r="H12" s="22"/>
      <c r="I12" s="23"/>
      <c r="J12" s="21"/>
      <c r="K12" s="21"/>
      <c r="L12" s="24"/>
      <c r="M12" s="23"/>
      <c r="N12" s="23"/>
      <c r="O12" s="23"/>
      <c r="P12" s="25"/>
      <c r="Q12" s="26"/>
      <c r="R12" s="27"/>
      <c r="S12" s="37"/>
      <c r="T12" s="28"/>
      <c r="U12" s="29"/>
      <c r="V12" s="122"/>
      <c r="W12" s="140"/>
      <c r="X12" s="8"/>
    </row>
    <row r="13" spans="1:25" s="8" customFormat="1" x14ac:dyDescent="0.2">
      <c r="B13" s="87" t="s">
        <v>26</v>
      </c>
      <c r="C13" s="40"/>
      <c r="D13" s="41"/>
      <c r="E13" s="42"/>
      <c r="F13" s="94"/>
      <c r="G13" s="94"/>
      <c r="H13" s="95"/>
      <c r="I13" s="96"/>
      <c r="J13" s="94"/>
      <c r="K13" s="94"/>
      <c r="L13" s="97"/>
      <c r="M13" s="96"/>
      <c r="N13" s="96"/>
      <c r="O13" s="96"/>
      <c r="P13" s="98"/>
      <c r="Q13" s="99"/>
      <c r="R13" s="100"/>
      <c r="S13" s="101"/>
      <c r="T13" s="102"/>
      <c r="U13" s="103"/>
      <c r="V13" s="104"/>
      <c r="W13" s="140"/>
    </row>
    <row r="14" spans="1:25" s="8" customFormat="1" x14ac:dyDescent="0.2">
      <c r="B14" s="88" t="s">
        <v>28</v>
      </c>
      <c r="C14" s="40"/>
      <c r="D14" s="41"/>
      <c r="E14" s="42"/>
      <c r="F14" s="94"/>
      <c r="G14" s="94"/>
      <c r="H14" s="95"/>
      <c r="I14" s="96"/>
      <c r="J14" s="94"/>
      <c r="K14" s="94"/>
      <c r="L14" s="97"/>
      <c r="M14" s="96"/>
      <c r="N14" s="96"/>
      <c r="O14" s="96"/>
      <c r="P14" s="98"/>
      <c r="Q14" s="99"/>
      <c r="R14" s="100"/>
      <c r="S14" s="101"/>
      <c r="T14" s="102"/>
      <c r="U14" s="103"/>
      <c r="V14" s="104"/>
      <c r="W14" s="140"/>
    </row>
    <row r="15" spans="1:25" ht="13.9" customHeight="1" x14ac:dyDescent="0.2">
      <c r="B15" s="57"/>
      <c r="C15" s="187" t="s">
        <v>48</v>
      </c>
      <c r="D15" s="105"/>
      <c r="E15" s="15">
        <v>2670.8656716417909</v>
      </c>
      <c r="F15" s="16">
        <v>6.937313432835821</v>
      </c>
      <c r="G15" s="16">
        <v>2.0951617750175293</v>
      </c>
      <c r="H15" s="13">
        <f t="shared" ref="H15:H22" si="0">+E15+F15*$D$10+G15*$D$11</f>
        <v>3468.65671641791</v>
      </c>
      <c r="I15" s="114"/>
      <c r="J15" s="109"/>
      <c r="K15" s="109"/>
      <c r="L15" s="123"/>
      <c r="M15" s="116"/>
      <c r="N15" s="117"/>
      <c r="O15" s="114"/>
      <c r="P15" s="118"/>
      <c r="Q15" s="119"/>
      <c r="R15" s="120"/>
      <c r="S15" s="121"/>
      <c r="T15" s="124"/>
      <c r="U15" s="55" t="s">
        <v>240</v>
      </c>
      <c r="V15" s="56" t="s">
        <v>227</v>
      </c>
      <c r="W15" s="181"/>
      <c r="X15" s="8"/>
    </row>
    <row r="16" spans="1:25" ht="13.9" customHeight="1" x14ac:dyDescent="0.2">
      <c r="B16" s="57"/>
      <c r="C16" s="187" t="s">
        <v>49</v>
      </c>
      <c r="D16" s="105"/>
      <c r="E16" s="15">
        <v>2560.3809523809523</v>
      </c>
      <c r="F16" s="16">
        <v>6.5371428571428556</v>
      </c>
      <c r="G16" s="16">
        <v>0</v>
      </c>
      <c r="H16" s="13">
        <f t="shared" si="0"/>
        <v>2723.8095238095239</v>
      </c>
      <c r="I16" s="114"/>
      <c r="J16" s="109"/>
      <c r="K16" s="109"/>
      <c r="L16" s="123"/>
      <c r="M16" s="116"/>
      <c r="N16" s="117"/>
      <c r="O16" s="114"/>
      <c r="P16" s="118"/>
      <c r="Q16" s="119"/>
      <c r="R16" s="120"/>
      <c r="S16" s="121"/>
      <c r="T16" s="124"/>
      <c r="U16" s="55" t="s">
        <v>240</v>
      </c>
      <c r="V16" s="56" t="s">
        <v>229</v>
      </c>
      <c r="W16" s="181"/>
      <c r="X16" s="8"/>
      <c r="Y16" s="20"/>
    </row>
    <row r="17" spans="2:25" ht="13.9" customHeight="1" x14ac:dyDescent="0.2">
      <c r="B17" s="57"/>
      <c r="C17" s="187" t="s">
        <v>241</v>
      </c>
      <c r="D17" s="105"/>
      <c r="E17" s="15">
        <v>2560.8461538461534</v>
      </c>
      <c r="F17" s="16">
        <v>8.85230769230769</v>
      </c>
      <c r="G17" s="16">
        <v>1.2731027361899843</v>
      </c>
      <c r="H17" s="13">
        <f t="shared" si="0"/>
        <v>3161.538461538461</v>
      </c>
      <c r="I17" s="114"/>
      <c r="J17" s="109"/>
      <c r="K17" s="109"/>
      <c r="L17" s="123"/>
      <c r="M17" s="116"/>
      <c r="N17" s="117"/>
      <c r="O17" s="114"/>
      <c r="P17" s="118"/>
      <c r="Q17" s="119"/>
      <c r="R17" s="120"/>
      <c r="S17" s="121"/>
      <c r="T17" s="124"/>
      <c r="U17" s="55" t="s">
        <v>240</v>
      </c>
      <c r="V17" s="56" t="s">
        <v>228</v>
      </c>
      <c r="W17" s="181"/>
      <c r="X17" s="8"/>
      <c r="Y17" s="20"/>
    </row>
    <row r="18" spans="2:25" ht="13.9" customHeight="1" x14ac:dyDescent="0.2">
      <c r="B18" s="57"/>
      <c r="C18" s="187" t="s">
        <v>47</v>
      </c>
      <c r="D18" s="105"/>
      <c r="E18" s="15">
        <v>2661.8048780487807</v>
      </c>
      <c r="F18" s="16">
        <v>6.7960975609756105</v>
      </c>
      <c r="G18" s="16">
        <v>0</v>
      </c>
      <c r="H18" s="13">
        <f t="shared" si="0"/>
        <v>2831.707317073171</v>
      </c>
      <c r="I18" s="114"/>
      <c r="J18" s="109"/>
      <c r="K18" s="109"/>
      <c r="L18" s="123"/>
      <c r="M18" s="116"/>
      <c r="N18" s="117"/>
      <c r="O18" s="114"/>
      <c r="P18" s="118"/>
      <c r="Q18" s="119"/>
      <c r="R18" s="120"/>
      <c r="S18" s="121"/>
      <c r="T18" s="124"/>
      <c r="U18" s="55" t="s">
        <v>240</v>
      </c>
      <c r="V18" s="56" t="s">
        <v>230</v>
      </c>
      <c r="W18" s="181"/>
      <c r="X18" s="8"/>
      <c r="Y18" s="20"/>
    </row>
    <row r="19" spans="2:25" ht="13.9" customHeight="1" x14ac:dyDescent="0.2">
      <c r="B19" s="57"/>
      <c r="C19" s="187" t="s">
        <v>50</v>
      </c>
      <c r="D19" s="105"/>
      <c r="E19" s="15">
        <v>2862.8888888888887</v>
      </c>
      <c r="F19" s="16">
        <v>7.340740740740741</v>
      </c>
      <c r="G19" s="16">
        <v>2.0938354461844395</v>
      </c>
      <c r="H19" s="13">
        <f t="shared" si="0"/>
        <v>3670.3703703703704</v>
      </c>
      <c r="I19" s="114"/>
      <c r="J19" s="109"/>
      <c r="K19" s="109"/>
      <c r="L19" s="123"/>
      <c r="M19" s="116"/>
      <c r="N19" s="117"/>
      <c r="O19" s="114"/>
      <c r="P19" s="118"/>
      <c r="Q19" s="119"/>
      <c r="R19" s="120"/>
      <c r="S19" s="121"/>
      <c r="T19" s="124"/>
      <c r="U19" s="55" t="s">
        <v>240</v>
      </c>
      <c r="V19" s="56" t="s">
        <v>231</v>
      </c>
      <c r="W19" s="181"/>
      <c r="X19" s="8"/>
      <c r="Y19"/>
    </row>
    <row r="20" spans="2:25" ht="13.9" customHeight="1" x14ac:dyDescent="0.2">
      <c r="B20" s="57"/>
      <c r="C20" s="187" t="s">
        <v>54</v>
      </c>
      <c r="D20" s="105"/>
      <c r="E20" s="15">
        <v>2652.5161290322585</v>
      </c>
      <c r="F20" s="16">
        <v>6.9574193548387093</v>
      </c>
      <c r="G20" s="16">
        <v>5.1071660532582808</v>
      </c>
      <c r="H20" s="13">
        <f t="shared" si="0"/>
        <v>4348.3870967741941</v>
      </c>
      <c r="I20" s="114"/>
      <c r="J20" s="109"/>
      <c r="K20" s="109"/>
      <c r="L20" s="123"/>
      <c r="M20" s="116"/>
      <c r="N20" s="117"/>
      <c r="O20" s="114"/>
      <c r="P20" s="118"/>
      <c r="Q20" s="119"/>
      <c r="R20" s="120"/>
      <c r="S20" s="121"/>
      <c r="T20" s="124"/>
      <c r="U20" s="55" t="s">
        <v>240</v>
      </c>
      <c r="V20" s="56" t="s">
        <v>232</v>
      </c>
      <c r="W20" s="181"/>
      <c r="X20" s="8"/>
      <c r="Y20"/>
    </row>
    <row r="21" spans="2:25" ht="13.9" customHeight="1" x14ac:dyDescent="0.2">
      <c r="B21" s="57"/>
      <c r="C21" s="187" t="s">
        <v>51</v>
      </c>
      <c r="D21" s="105"/>
      <c r="E21" s="15">
        <v>1702.608695652174</v>
      </c>
      <c r="F21" s="16">
        <v>9.2869565217391301</v>
      </c>
      <c r="G21" s="16">
        <v>0</v>
      </c>
      <c r="H21" s="13">
        <f t="shared" si="0"/>
        <v>1934.7826086956522</v>
      </c>
      <c r="I21" s="114"/>
      <c r="J21" s="109"/>
      <c r="K21" s="109"/>
      <c r="L21" s="123"/>
      <c r="M21" s="116"/>
      <c r="N21" s="117"/>
      <c r="O21" s="114"/>
      <c r="P21" s="118"/>
      <c r="Q21" s="119"/>
      <c r="R21" s="120"/>
      <c r="S21" s="121"/>
      <c r="T21" s="124"/>
      <c r="U21" s="55" t="s">
        <v>240</v>
      </c>
      <c r="V21" s="56" t="s">
        <v>233</v>
      </c>
      <c r="W21" s="181"/>
      <c r="X21" s="8"/>
    </row>
    <row r="22" spans="2:25" ht="13.9" customHeight="1" x14ac:dyDescent="0.2">
      <c r="B22" s="57"/>
      <c r="C22" s="187" t="s">
        <v>52</v>
      </c>
      <c r="D22" s="105"/>
      <c r="E22" s="15">
        <v>2181.6000000000004</v>
      </c>
      <c r="F22" s="16">
        <v>7.5413333333333341</v>
      </c>
      <c r="G22" s="16">
        <v>1.084563758389262</v>
      </c>
      <c r="H22" s="13">
        <f t="shared" si="0"/>
        <v>2693.3333333333339</v>
      </c>
      <c r="I22" s="114"/>
      <c r="J22" s="109"/>
      <c r="K22" s="109"/>
      <c r="L22" s="123"/>
      <c r="M22" s="116"/>
      <c r="N22" s="117"/>
      <c r="O22" s="114"/>
      <c r="P22" s="118"/>
      <c r="Q22" s="119"/>
      <c r="R22" s="120"/>
      <c r="S22" s="121"/>
      <c r="T22" s="124"/>
      <c r="U22" s="55" t="s">
        <v>240</v>
      </c>
      <c r="V22" s="56" t="s">
        <v>234</v>
      </c>
      <c r="W22" s="181"/>
    </row>
    <row r="23" spans="2:25" s="8" customFormat="1" x14ac:dyDescent="0.2">
      <c r="B23" s="39"/>
      <c r="C23" s="187"/>
      <c r="D23" s="41"/>
      <c r="E23" s="42"/>
      <c r="F23" s="43"/>
      <c r="G23" s="44"/>
      <c r="H23" s="45"/>
      <c r="I23" s="49"/>
      <c r="J23" s="44"/>
      <c r="K23" s="44"/>
      <c r="L23" s="47"/>
      <c r="M23" s="46"/>
      <c r="N23" s="48"/>
      <c r="O23" s="49"/>
      <c r="P23" s="50"/>
      <c r="Q23" s="51"/>
      <c r="R23" s="52"/>
      <c r="S23" s="53"/>
      <c r="T23" s="54"/>
      <c r="U23" s="55"/>
      <c r="V23" s="56"/>
      <c r="W23" s="181"/>
    </row>
    <row r="24" spans="2:25" s="8" customFormat="1" ht="14.25" x14ac:dyDescent="0.25">
      <c r="B24" s="88" t="s">
        <v>29</v>
      </c>
      <c r="C24" s="187"/>
      <c r="D24" s="41"/>
      <c r="E24" s="42"/>
      <c r="F24" s="43"/>
      <c r="G24" s="44"/>
      <c r="H24" s="45"/>
      <c r="I24" s="49"/>
      <c r="J24" s="44"/>
      <c r="K24" s="44"/>
      <c r="L24" s="47"/>
      <c r="M24" s="46"/>
      <c r="N24" s="48"/>
      <c r="O24" s="49"/>
      <c r="P24" s="50"/>
      <c r="Q24" s="51"/>
      <c r="R24" s="52"/>
      <c r="S24" s="53"/>
      <c r="T24" s="54"/>
      <c r="U24" s="55"/>
      <c r="V24" s="56"/>
      <c r="W24" s="181"/>
    </row>
    <row r="25" spans="2:25" x14ac:dyDescent="0.2">
      <c r="B25" s="57"/>
      <c r="C25" s="187" t="s">
        <v>55</v>
      </c>
      <c r="D25" s="105"/>
      <c r="E25" s="15">
        <v>516.5625</v>
      </c>
      <c r="F25" s="16">
        <v>0.87</v>
      </c>
      <c r="G25" s="16">
        <v>1.8246644295302015E-2</v>
      </c>
      <c r="H25" s="13">
        <f>+E25+F25*$D$10+G25*$D$11</f>
        <v>543.75</v>
      </c>
      <c r="I25" s="114"/>
      <c r="J25" s="109"/>
      <c r="K25" s="109"/>
      <c r="L25" s="123"/>
      <c r="M25" s="116"/>
      <c r="N25" s="117"/>
      <c r="O25" s="114"/>
      <c r="P25" s="118"/>
      <c r="Q25" s="119"/>
      <c r="R25" s="120"/>
      <c r="S25" s="121"/>
      <c r="T25" s="124"/>
      <c r="U25" s="55" t="s">
        <v>240</v>
      </c>
      <c r="V25" s="56" t="s">
        <v>235</v>
      </c>
      <c r="W25" s="181"/>
      <c r="X25" s="8"/>
    </row>
    <row r="26" spans="2:25" ht="14.25" x14ac:dyDescent="0.25">
      <c r="B26" s="57"/>
      <c r="C26" s="187" t="s">
        <v>40</v>
      </c>
      <c r="D26" s="105"/>
      <c r="E26" s="15">
        <v>95</v>
      </c>
      <c r="F26" s="16">
        <v>0</v>
      </c>
      <c r="G26" s="16">
        <v>0</v>
      </c>
      <c r="H26" s="13">
        <f>+E26+F26*$D$10+G26*$D$11</f>
        <v>95</v>
      </c>
      <c r="I26" s="114"/>
      <c r="J26" s="109"/>
      <c r="K26" s="109"/>
      <c r="L26" s="123"/>
      <c r="M26" s="116"/>
      <c r="N26" s="117"/>
      <c r="O26" s="114"/>
      <c r="P26" s="118"/>
      <c r="Q26" s="119"/>
      <c r="R26" s="120"/>
      <c r="S26" s="121"/>
      <c r="T26" s="124"/>
      <c r="U26" s="146" t="s">
        <v>59</v>
      </c>
      <c r="V26" s="56" t="s">
        <v>166</v>
      </c>
      <c r="W26" s="181"/>
      <c r="X26" s="8"/>
    </row>
    <row r="27" spans="2:25" ht="14.25" x14ac:dyDescent="0.25">
      <c r="B27" s="57"/>
      <c r="C27" s="187" t="s">
        <v>41</v>
      </c>
      <c r="D27" s="105"/>
      <c r="E27" s="15">
        <v>967.11538461538464</v>
      </c>
      <c r="F27" s="16">
        <v>2.4692307692307689</v>
      </c>
      <c r="G27" s="16">
        <v>0</v>
      </c>
      <c r="H27" s="13">
        <f>+E27+F27*$D$10+G27*$D$11</f>
        <v>1028.8461538461538</v>
      </c>
      <c r="I27" s="114"/>
      <c r="J27" s="109"/>
      <c r="K27" s="109"/>
      <c r="L27" s="123"/>
      <c r="M27" s="116"/>
      <c r="N27" s="117"/>
      <c r="O27" s="114"/>
      <c r="P27" s="118"/>
      <c r="Q27" s="119"/>
      <c r="R27" s="120"/>
      <c r="S27" s="121"/>
      <c r="T27" s="124"/>
      <c r="U27" s="55" t="s">
        <v>240</v>
      </c>
      <c r="V27" s="56" t="s">
        <v>236</v>
      </c>
      <c r="W27" s="181"/>
      <c r="X27" s="8"/>
    </row>
    <row r="28" spans="2:25" x14ac:dyDescent="0.2">
      <c r="B28" s="57"/>
      <c r="C28" s="187" t="s">
        <v>226</v>
      </c>
      <c r="D28" s="105"/>
      <c r="E28" s="15">
        <v>1459.0434782608695</v>
      </c>
      <c r="F28" s="16">
        <v>3.7252173913043474</v>
      </c>
      <c r="G28" s="16">
        <f>0/296/0.46</f>
        <v>0</v>
      </c>
      <c r="H28" s="13">
        <f>+E28+F28*$D$10+G28*$D$11</f>
        <v>1552.1739130434783</v>
      </c>
      <c r="I28" s="114"/>
      <c r="J28" s="109"/>
      <c r="K28" s="109"/>
      <c r="L28" s="123"/>
      <c r="M28" s="116"/>
      <c r="N28" s="117"/>
      <c r="O28" s="114"/>
      <c r="P28" s="118"/>
      <c r="Q28" s="119"/>
      <c r="R28" s="120"/>
      <c r="S28" s="121"/>
      <c r="T28" s="124"/>
      <c r="U28" s="55" t="s">
        <v>240</v>
      </c>
      <c r="V28" s="56" t="s">
        <v>237</v>
      </c>
      <c r="W28" s="181"/>
      <c r="X28" s="8"/>
    </row>
    <row r="29" spans="2:25" s="8" customFormat="1" x14ac:dyDescent="0.2">
      <c r="B29" s="39"/>
      <c r="C29" s="40"/>
      <c r="D29" s="41"/>
      <c r="E29" s="42"/>
      <c r="F29" s="43"/>
      <c r="G29" s="44"/>
      <c r="H29" s="45"/>
      <c r="I29" s="49"/>
      <c r="J29" s="44"/>
      <c r="K29" s="44"/>
      <c r="L29" s="47"/>
      <c r="M29" s="46"/>
      <c r="N29" s="48"/>
      <c r="O29" s="49"/>
      <c r="P29" s="50"/>
      <c r="Q29" s="51"/>
      <c r="R29" s="52"/>
      <c r="S29" s="53"/>
      <c r="T29" s="54"/>
      <c r="U29" s="55"/>
      <c r="V29" s="56"/>
      <c r="W29" s="181"/>
    </row>
    <row r="30" spans="2:25" s="8" customFormat="1" ht="14.25" x14ac:dyDescent="0.25">
      <c r="B30" s="88" t="s">
        <v>30</v>
      </c>
      <c r="C30" s="40"/>
      <c r="D30" s="41"/>
      <c r="E30" s="42"/>
      <c r="F30" s="43"/>
      <c r="G30" s="44"/>
      <c r="H30" s="45"/>
      <c r="I30" s="49"/>
      <c r="J30" s="44"/>
      <c r="K30" s="44"/>
      <c r="L30" s="47"/>
      <c r="M30" s="46"/>
      <c r="N30" s="48"/>
      <c r="O30" s="49"/>
      <c r="P30" s="50"/>
      <c r="Q30" s="51"/>
      <c r="R30" s="52"/>
      <c r="S30" s="53"/>
      <c r="T30" s="54"/>
      <c r="U30" s="55"/>
      <c r="V30" s="56"/>
      <c r="W30" s="181"/>
    </row>
    <row r="31" spans="2:25" x14ac:dyDescent="0.2">
      <c r="B31" s="57"/>
      <c r="C31" s="187" t="s">
        <v>39</v>
      </c>
      <c r="D31" s="105"/>
      <c r="E31" s="15">
        <v>409.2</v>
      </c>
      <c r="F31" s="9">
        <v>0.16533333333333333</v>
      </c>
      <c r="G31" s="16">
        <v>0</v>
      </c>
      <c r="H31" s="13">
        <f>+E31+F31*$D$10+G31*$D$11</f>
        <v>413.33333333333331</v>
      </c>
      <c r="I31" s="114"/>
      <c r="J31" s="109"/>
      <c r="K31" s="109"/>
      <c r="L31" s="123"/>
      <c r="M31" s="116"/>
      <c r="N31" s="117"/>
      <c r="O31" s="114"/>
      <c r="P31" s="118"/>
      <c r="Q31" s="119"/>
      <c r="R31" s="120"/>
      <c r="S31" s="121"/>
      <c r="T31" s="124"/>
      <c r="U31" s="55" t="s">
        <v>240</v>
      </c>
      <c r="V31" s="56" t="s">
        <v>238</v>
      </c>
      <c r="W31" s="181"/>
      <c r="X31" s="8"/>
    </row>
    <row r="32" spans="2:25" s="8" customFormat="1" x14ac:dyDescent="0.2">
      <c r="B32" s="57"/>
      <c r="C32" s="187"/>
      <c r="D32" s="41"/>
      <c r="E32" s="42"/>
      <c r="F32" s="43"/>
      <c r="G32" s="44"/>
      <c r="H32" s="45"/>
      <c r="I32" s="49"/>
      <c r="J32" s="44"/>
      <c r="K32" s="44"/>
      <c r="L32" s="47"/>
      <c r="M32" s="46"/>
      <c r="N32" s="48"/>
      <c r="O32" s="49"/>
      <c r="P32" s="50"/>
      <c r="Q32" s="51"/>
      <c r="R32" s="52"/>
      <c r="S32" s="53"/>
      <c r="T32" s="54"/>
      <c r="U32" s="55"/>
      <c r="V32" s="56"/>
      <c r="W32" s="181"/>
    </row>
    <row r="33" spans="2:24" s="8" customFormat="1" x14ac:dyDescent="0.2">
      <c r="B33" s="88" t="s">
        <v>31</v>
      </c>
      <c r="C33" s="187"/>
      <c r="D33" s="41"/>
      <c r="E33" s="42"/>
      <c r="F33" s="43"/>
      <c r="G33" s="44"/>
      <c r="H33" s="45"/>
      <c r="I33" s="49"/>
      <c r="J33" s="44"/>
      <c r="K33" s="44"/>
      <c r="L33" s="47"/>
      <c r="M33" s="46"/>
      <c r="N33" s="48"/>
      <c r="O33" s="49"/>
      <c r="P33" s="50"/>
      <c r="Q33" s="51"/>
      <c r="R33" s="52"/>
      <c r="S33" s="53"/>
      <c r="T33" s="54"/>
      <c r="U33" s="55"/>
      <c r="V33" s="56"/>
      <c r="W33" s="181"/>
    </row>
    <row r="34" spans="2:24" ht="13.9" customHeight="1" x14ac:dyDescent="0.2">
      <c r="B34" s="57"/>
      <c r="C34" s="187" t="s">
        <v>53</v>
      </c>
      <c r="D34" s="105"/>
      <c r="E34" s="15">
        <v>4261.3333333333339</v>
      </c>
      <c r="F34" s="16">
        <v>10.026666666666666</v>
      </c>
      <c r="G34" s="16">
        <v>1.682326621923937</v>
      </c>
      <c r="H34" s="13">
        <f>+E34+F34*$D$10+G34*$D$11</f>
        <v>5013.3333333333339</v>
      </c>
      <c r="I34" s="114"/>
      <c r="J34" s="109"/>
      <c r="K34" s="109"/>
      <c r="L34" s="123"/>
      <c r="M34" s="116"/>
      <c r="N34" s="117"/>
      <c r="O34" s="114"/>
      <c r="P34" s="118"/>
      <c r="Q34" s="119"/>
      <c r="R34" s="120"/>
      <c r="S34" s="121"/>
      <c r="T34" s="124"/>
      <c r="U34" s="55" t="s">
        <v>240</v>
      </c>
      <c r="V34" s="56" t="s">
        <v>239</v>
      </c>
      <c r="W34" s="181"/>
    </row>
    <row r="35" spans="2:24" x14ac:dyDescent="0.2">
      <c r="B35" s="57"/>
      <c r="C35" s="187" t="s">
        <v>32</v>
      </c>
      <c r="D35" s="105"/>
      <c r="E35" s="15">
        <v>769</v>
      </c>
      <c r="F35" s="16">
        <v>0</v>
      </c>
      <c r="G35" s="16">
        <v>0</v>
      </c>
      <c r="H35" s="13">
        <f>+E35+F35*$D$10+G35*$D$11</f>
        <v>769</v>
      </c>
      <c r="I35" s="114"/>
      <c r="J35" s="109"/>
      <c r="K35" s="109"/>
      <c r="L35" s="123"/>
      <c r="M35" s="116"/>
      <c r="N35" s="117"/>
      <c r="O35" s="114"/>
      <c r="P35" s="118"/>
      <c r="Q35" s="119"/>
      <c r="R35" s="120"/>
      <c r="S35" s="121"/>
      <c r="T35" s="124"/>
      <c r="U35" s="55" t="s">
        <v>243</v>
      </c>
      <c r="V35" s="56"/>
      <c r="W35" s="181"/>
      <c r="X35" s="8"/>
    </row>
    <row r="36" spans="2:24" x14ac:dyDescent="0.2">
      <c r="B36" s="57"/>
      <c r="C36" s="187" t="s">
        <v>33</v>
      </c>
      <c r="D36" s="105"/>
      <c r="E36" s="15">
        <v>1620</v>
      </c>
      <c r="F36" s="16">
        <v>0</v>
      </c>
      <c r="G36" s="16">
        <v>0</v>
      </c>
      <c r="H36" s="13">
        <f>+E36+F36*$D$10+G36*$D$11</f>
        <v>1620</v>
      </c>
      <c r="I36" s="114"/>
      <c r="J36" s="109"/>
      <c r="K36" s="109"/>
      <c r="L36" s="123"/>
      <c r="M36" s="116"/>
      <c r="N36" s="117"/>
      <c r="O36" s="114"/>
      <c r="P36" s="118"/>
      <c r="Q36" s="119"/>
      <c r="R36" s="120"/>
      <c r="S36" s="121"/>
      <c r="T36" s="124"/>
      <c r="U36" s="146" t="s">
        <v>59</v>
      </c>
      <c r="V36" s="56"/>
      <c r="W36" s="181"/>
      <c r="X36" s="8"/>
    </row>
    <row r="37" spans="2:24" s="8" customFormat="1" x14ac:dyDescent="0.2">
      <c r="B37" s="57"/>
      <c r="C37" s="40"/>
      <c r="D37" s="41"/>
      <c r="E37" s="42"/>
      <c r="F37" s="186"/>
      <c r="G37" s="186"/>
      <c r="H37" s="45"/>
      <c r="I37" s="49"/>
      <c r="J37" s="44"/>
      <c r="K37" s="44"/>
      <c r="L37" s="47"/>
      <c r="M37" s="46"/>
      <c r="N37" s="48"/>
      <c r="O37" s="49"/>
      <c r="P37" s="50"/>
      <c r="Q37" s="51"/>
      <c r="R37" s="52"/>
      <c r="S37" s="53"/>
      <c r="T37" s="54"/>
      <c r="U37" s="146"/>
      <c r="V37" s="56"/>
      <c r="W37" s="181"/>
    </row>
    <row r="38" spans="2:24" s="8" customFormat="1" x14ac:dyDescent="0.2">
      <c r="B38" s="89" t="s">
        <v>167</v>
      </c>
      <c r="C38" s="40"/>
      <c r="D38" s="41"/>
      <c r="E38" s="42"/>
      <c r="F38" s="186"/>
      <c r="G38" s="186"/>
      <c r="H38" s="45"/>
      <c r="I38" s="46"/>
      <c r="J38" s="44"/>
      <c r="K38" s="44"/>
      <c r="L38" s="47"/>
      <c r="M38" s="46"/>
      <c r="N38" s="48"/>
      <c r="O38" s="49"/>
      <c r="P38" s="50"/>
      <c r="Q38" s="51"/>
      <c r="R38" s="52"/>
      <c r="S38" s="53"/>
      <c r="T38" s="54"/>
      <c r="U38" s="146"/>
      <c r="V38" s="56"/>
      <c r="W38" s="181"/>
    </row>
    <row r="39" spans="2:24" x14ac:dyDescent="0.2">
      <c r="B39" s="57"/>
      <c r="C39" s="40" t="s">
        <v>168</v>
      </c>
      <c r="D39" s="105"/>
      <c r="E39" s="15">
        <v>350</v>
      </c>
      <c r="F39" s="16">
        <v>0</v>
      </c>
      <c r="G39" s="16">
        <v>0</v>
      </c>
      <c r="H39" s="13">
        <f>+E39+F39*$D$10+G39*$D$11</f>
        <v>350</v>
      </c>
      <c r="I39" s="116"/>
      <c r="J39" s="109"/>
      <c r="K39" s="109"/>
      <c r="L39" s="123"/>
      <c r="M39" s="116"/>
      <c r="N39" s="117"/>
      <c r="O39" s="114"/>
      <c r="P39" s="118"/>
      <c r="Q39" s="119"/>
      <c r="R39" s="120"/>
      <c r="S39" s="121"/>
      <c r="T39" s="124"/>
      <c r="U39" s="146" t="s">
        <v>179</v>
      </c>
      <c r="V39" s="56"/>
      <c r="W39" s="181"/>
      <c r="X39" s="8"/>
    </row>
    <row r="40" spans="2:24" x14ac:dyDescent="0.2">
      <c r="B40" s="57"/>
      <c r="C40" s="40" t="s">
        <v>169</v>
      </c>
      <c r="D40" s="105"/>
      <c r="E40" s="15">
        <v>400</v>
      </c>
      <c r="F40" s="16">
        <v>0</v>
      </c>
      <c r="G40" s="16">
        <v>0</v>
      </c>
      <c r="H40" s="13">
        <f>+E40+F40*$D$10+G40*$D$11</f>
        <v>400</v>
      </c>
      <c r="I40" s="116"/>
      <c r="J40" s="109"/>
      <c r="K40" s="109"/>
      <c r="L40" s="123"/>
      <c r="M40" s="116"/>
      <c r="N40" s="117"/>
      <c r="O40" s="114"/>
      <c r="P40" s="118"/>
      <c r="Q40" s="119"/>
      <c r="R40" s="120"/>
      <c r="S40" s="121"/>
      <c r="T40" s="124"/>
      <c r="U40" s="146" t="s">
        <v>180</v>
      </c>
      <c r="V40" s="56"/>
      <c r="W40" s="181"/>
      <c r="X40" s="8"/>
    </row>
    <row r="41" spans="2:24" s="8" customFormat="1" x14ac:dyDescent="0.2">
      <c r="B41" s="57"/>
      <c r="C41" s="40"/>
      <c r="D41" s="41"/>
      <c r="E41" s="42"/>
      <c r="F41" s="186"/>
      <c r="G41" s="186"/>
      <c r="H41" s="45"/>
      <c r="I41" s="46"/>
      <c r="J41" s="44"/>
      <c r="K41" s="44"/>
      <c r="L41" s="47"/>
      <c r="M41" s="46"/>
      <c r="N41" s="48"/>
      <c r="O41" s="49"/>
      <c r="P41" s="50"/>
      <c r="Q41" s="51"/>
      <c r="R41" s="52"/>
      <c r="S41" s="53"/>
      <c r="T41" s="54"/>
      <c r="U41" s="55"/>
      <c r="V41" s="56"/>
      <c r="W41" s="181"/>
    </row>
    <row r="42" spans="2:24" s="8" customFormat="1" x14ac:dyDescent="0.2">
      <c r="B42" s="87" t="s">
        <v>27</v>
      </c>
      <c r="C42" s="40"/>
      <c r="D42" s="41"/>
      <c r="E42" s="42"/>
      <c r="F42" s="186"/>
      <c r="G42" s="186"/>
      <c r="H42" s="45"/>
      <c r="I42" s="46"/>
      <c r="J42" s="44"/>
      <c r="K42" s="44"/>
      <c r="L42" s="47"/>
      <c r="M42" s="46"/>
      <c r="N42" s="48"/>
      <c r="O42" s="49"/>
      <c r="P42" s="50"/>
      <c r="Q42" s="51"/>
      <c r="R42" s="52"/>
      <c r="S42" s="53"/>
      <c r="T42" s="54"/>
      <c r="U42" s="55"/>
      <c r="V42" s="56"/>
      <c r="W42" s="181"/>
    </row>
    <row r="43" spans="2:24" ht="13.9" customHeight="1" x14ac:dyDescent="0.2">
      <c r="B43" s="57"/>
      <c r="C43" s="40" t="s">
        <v>34</v>
      </c>
      <c r="D43" s="105"/>
      <c r="E43" s="15">
        <v>1570.2</v>
      </c>
      <c r="F43" s="16">
        <v>0</v>
      </c>
      <c r="G43" s="16">
        <v>0</v>
      </c>
      <c r="H43" s="13">
        <f t="shared" ref="H43:H53" si="1">+E43+F43*$D$10+G43*$D$11</f>
        <v>1570.2</v>
      </c>
      <c r="I43" s="116"/>
      <c r="J43" s="109"/>
      <c r="K43" s="109"/>
      <c r="L43" s="123"/>
      <c r="M43" s="116"/>
      <c r="N43" s="117"/>
      <c r="O43" s="114"/>
      <c r="P43" s="118"/>
      <c r="Q43" s="119"/>
      <c r="R43" s="120"/>
      <c r="S43" s="121"/>
      <c r="T43" s="124"/>
      <c r="U43" s="55" t="s">
        <v>181</v>
      </c>
      <c r="V43" s="56"/>
      <c r="W43" s="181"/>
      <c r="X43" s="8"/>
    </row>
    <row r="44" spans="2:24" ht="13.9" customHeight="1" x14ac:dyDescent="0.2">
      <c r="B44" s="57"/>
      <c r="C44" s="40" t="s">
        <v>35</v>
      </c>
      <c r="D44" s="105"/>
      <c r="E44" s="15">
        <v>963.1</v>
      </c>
      <c r="F44" s="16">
        <v>0</v>
      </c>
      <c r="G44" s="16">
        <v>0</v>
      </c>
      <c r="H44" s="13">
        <f t="shared" si="1"/>
        <v>963.1</v>
      </c>
      <c r="I44" s="116"/>
      <c r="J44" s="109"/>
      <c r="K44" s="109"/>
      <c r="L44" s="123"/>
      <c r="M44" s="116"/>
      <c r="N44" s="117"/>
      <c r="O44" s="114"/>
      <c r="P44" s="118"/>
      <c r="Q44" s="119"/>
      <c r="R44" s="120"/>
      <c r="S44" s="121"/>
      <c r="T44" s="124"/>
      <c r="U44" s="55" t="s">
        <v>60</v>
      </c>
      <c r="V44" s="56"/>
      <c r="W44" s="181"/>
      <c r="X44" s="8"/>
    </row>
    <row r="45" spans="2:24" ht="13.9" customHeight="1" x14ac:dyDescent="0.2">
      <c r="B45" s="57"/>
      <c r="C45" s="40" t="s">
        <v>173</v>
      </c>
      <c r="D45" s="105"/>
      <c r="E45" s="15">
        <f>997+76+751</f>
        <v>1824</v>
      </c>
      <c r="F45" s="16">
        <v>3.76</v>
      </c>
      <c r="G45" s="9">
        <f>(1.24+1.27+2.83)*0.00001*1000</f>
        <v>5.3400000000000003E-2</v>
      </c>
      <c r="H45" s="13">
        <f t="shared" si="1"/>
        <v>1933.9132</v>
      </c>
      <c r="I45" s="116"/>
      <c r="J45" s="109"/>
      <c r="K45" s="109"/>
      <c r="L45" s="123"/>
      <c r="M45" s="116"/>
      <c r="N45" s="117"/>
      <c r="O45" s="114"/>
      <c r="P45" s="118"/>
      <c r="Q45" s="119"/>
      <c r="R45" s="120"/>
      <c r="S45" s="121"/>
      <c r="T45" s="124"/>
      <c r="U45" s="55"/>
      <c r="V45" s="56"/>
      <c r="W45" s="181"/>
      <c r="X45" s="8"/>
    </row>
    <row r="46" spans="2:24" ht="13.9" customHeight="1" x14ac:dyDescent="0.2">
      <c r="B46" s="57"/>
      <c r="C46" s="40" t="s">
        <v>36</v>
      </c>
      <c r="D46" s="105"/>
      <c r="E46" s="15">
        <v>4885.3999999999996</v>
      </c>
      <c r="F46" s="16">
        <v>0</v>
      </c>
      <c r="G46" s="16">
        <v>0</v>
      </c>
      <c r="H46" s="13">
        <f t="shared" si="1"/>
        <v>4885.3999999999996</v>
      </c>
      <c r="I46" s="116"/>
      <c r="J46" s="109"/>
      <c r="K46" s="109"/>
      <c r="L46" s="123"/>
      <c r="M46" s="116"/>
      <c r="N46" s="117"/>
      <c r="O46" s="114"/>
      <c r="P46" s="118"/>
      <c r="Q46" s="119"/>
      <c r="R46" s="120"/>
      <c r="S46" s="121"/>
      <c r="T46" s="124"/>
      <c r="U46" s="55" t="s">
        <v>246</v>
      </c>
      <c r="V46" s="56"/>
      <c r="W46" s="181"/>
      <c r="X46" s="8"/>
    </row>
    <row r="47" spans="2:24" ht="13.9" customHeight="1" x14ac:dyDescent="0.2">
      <c r="B47" s="57"/>
      <c r="C47" s="40" t="s">
        <v>56</v>
      </c>
      <c r="D47" s="105"/>
      <c r="E47" s="15">
        <v>1145</v>
      </c>
      <c r="F47" s="16">
        <v>0</v>
      </c>
      <c r="G47" s="16">
        <v>0</v>
      </c>
      <c r="H47" s="13">
        <f t="shared" si="1"/>
        <v>1145</v>
      </c>
      <c r="I47" s="116"/>
      <c r="J47" s="109"/>
      <c r="K47" s="109"/>
      <c r="L47" s="123"/>
      <c r="M47" s="116"/>
      <c r="N47" s="117"/>
      <c r="O47" s="114"/>
      <c r="P47" s="118"/>
      <c r="Q47" s="119"/>
      <c r="R47" s="120"/>
      <c r="S47" s="121"/>
      <c r="T47" s="124"/>
      <c r="U47" s="55" t="s">
        <v>246</v>
      </c>
      <c r="V47" s="56"/>
      <c r="W47" s="181"/>
      <c r="X47" s="8"/>
    </row>
    <row r="48" spans="2:24" ht="13.9" customHeight="1" x14ac:dyDescent="0.2">
      <c r="B48" s="57"/>
      <c r="C48" s="58" t="s">
        <v>57</v>
      </c>
      <c r="D48" s="105"/>
      <c r="E48" s="15">
        <v>4000</v>
      </c>
      <c r="F48" s="16">
        <v>0</v>
      </c>
      <c r="G48" s="16">
        <v>0</v>
      </c>
      <c r="H48" s="13">
        <f t="shared" si="1"/>
        <v>4000</v>
      </c>
      <c r="I48" s="116"/>
      <c r="J48" s="109"/>
      <c r="K48" s="109"/>
      <c r="L48" s="123"/>
      <c r="M48" s="116"/>
      <c r="N48" s="117"/>
      <c r="O48" s="114"/>
      <c r="P48" s="118"/>
      <c r="Q48" s="119"/>
      <c r="R48" s="120"/>
      <c r="S48" s="121"/>
      <c r="T48" s="124"/>
      <c r="U48" s="55" t="s">
        <v>246</v>
      </c>
      <c r="V48" s="56"/>
      <c r="W48" s="181"/>
      <c r="X48" s="8"/>
    </row>
    <row r="49" spans="2:24" ht="13.9" customHeight="1" x14ac:dyDescent="0.2">
      <c r="B49" s="57"/>
      <c r="C49" s="58" t="s">
        <v>46</v>
      </c>
      <c r="D49" s="105"/>
      <c r="E49" s="15">
        <v>10000</v>
      </c>
      <c r="F49" s="16">
        <v>0</v>
      </c>
      <c r="G49" s="16">
        <v>0</v>
      </c>
      <c r="H49" s="13">
        <f t="shared" si="1"/>
        <v>10000</v>
      </c>
      <c r="I49" s="116"/>
      <c r="J49" s="109"/>
      <c r="K49" s="109"/>
      <c r="L49" s="123"/>
      <c r="M49" s="116"/>
      <c r="N49" s="117"/>
      <c r="O49" s="114"/>
      <c r="P49" s="118"/>
      <c r="Q49" s="119"/>
      <c r="R49" s="120"/>
      <c r="S49" s="121"/>
      <c r="T49" s="124"/>
      <c r="U49" s="147" t="s">
        <v>58</v>
      </c>
      <c r="V49" s="56"/>
      <c r="W49" s="181"/>
      <c r="X49" s="8"/>
    </row>
    <row r="50" spans="2:24" ht="13.9" customHeight="1" x14ac:dyDescent="0.2">
      <c r="B50" s="57"/>
      <c r="C50" s="58" t="s">
        <v>37</v>
      </c>
      <c r="D50" s="105"/>
      <c r="E50" s="15">
        <v>1501</v>
      </c>
      <c r="F50" s="16">
        <v>0</v>
      </c>
      <c r="G50" s="16">
        <v>0</v>
      </c>
      <c r="H50" s="13">
        <f t="shared" si="1"/>
        <v>1501</v>
      </c>
      <c r="I50" s="116"/>
      <c r="J50" s="109"/>
      <c r="K50" s="109"/>
      <c r="L50" s="123"/>
      <c r="M50" s="116"/>
      <c r="N50" s="117"/>
      <c r="O50" s="114"/>
      <c r="P50" s="118"/>
      <c r="Q50" s="119"/>
      <c r="R50" s="120"/>
      <c r="S50" s="121"/>
      <c r="T50" s="124"/>
      <c r="U50" s="55" t="s">
        <v>246</v>
      </c>
      <c r="V50" s="56"/>
      <c r="W50" s="181"/>
      <c r="X50" s="8"/>
    </row>
    <row r="51" spans="2:24" ht="13.9" hidden="1" customHeight="1" x14ac:dyDescent="0.2">
      <c r="B51" s="57"/>
      <c r="C51" s="90" t="s">
        <v>37</v>
      </c>
      <c r="D51" s="105"/>
      <c r="E51" s="15">
        <v>500000</v>
      </c>
      <c r="F51" s="16"/>
      <c r="G51" s="16"/>
      <c r="H51" s="13">
        <f t="shared" si="1"/>
        <v>500000</v>
      </c>
      <c r="I51" s="116"/>
      <c r="J51" s="109"/>
      <c r="K51" s="109"/>
      <c r="L51" s="123"/>
      <c r="M51" s="116"/>
      <c r="N51" s="117"/>
      <c r="O51" s="114"/>
      <c r="P51" s="118"/>
      <c r="Q51" s="119"/>
      <c r="R51" s="120"/>
      <c r="S51" s="121"/>
      <c r="T51" s="124"/>
      <c r="U51" s="55" t="s">
        <v>181</v>
      </c>
      <c r="V51" s="56"/>
      <c r="W51" s="181"/>
      <c r="X51" s="8"/>
    </row>
    <row r="52" spans="2:24" ht="13.9" hidden="1" customHeight="1" x14ac:dyDescent="0.2">
      <c r="B52" s="57"/>
      <c r="C52" s="90" t="s">
        <v>43</v>
      </c>
      <c r="D52" s="105"/>
      <c r="E52" s="15">
        <v>855</v>
      </c>
      <c r="F52" s="16"/>
      <c r="G52" s="16"/>
      <c r="H52" s="13">
        <f t="shared" si="1"/>
        <v>855</v>
      </c>
      <c r="I52" s="116"/>
      <c r="J52" s="109"/>
      <c r="K52" s="109"/>
      <c r="L52" s="123"/>
      <c r="M52" s="116"/>
      <c r="N52" s="117"/>
      <c r="O52" s="114"/>
      <c r="P52" s="118"/>
      <c r="Q52" s="119"/>
      <c r="R52" s="120"/>
      <c r="S52" s="121"/>
      <c r="T52" s="124"/>
      <c r="U52" s="55" t="s">
        <v>181</v>
      </c>
      <c r="V52" s="56"/>
      <c r="W52" s="181"/>
      <c r="X52" s="8"/>
    </row>
    <row r="53" spans="2:24" ht="13.9" customHeight="1" x14ac:dyDescent="0.2">
      <c r="B53" s="57"/>
      <c r="C53" s="58" t="s">
        <v>38</v>
      </c>
      <c r="D53" s="105"/>
      <c r="E53" s="15">
        <v>434</v>
      </c>
      <c r="F53" s="16">
        <v>0</v>
      </c>
      <c r="G53" s="16">
        <v>0</v>
      </c>
      <c r="H53" s="13">
        <f t="shared" si="1"/>
        <v>434</v>
      </c>
      <c r="I53" s="116"/>
      <c r="J53" s="109"/>
      <c r="K53" s="109"/>
      <c r="L53" s="123"/>
      <c r="M53" s="116"/>
      <c r="N53" s="117"/>
      <c r="O53" s="114"/>
      <c r="P53" s="118"/>
      <c r="Q53" s="119"/>
      <c r="R53" s="120"/>
      <c r="S53" s="121"/>
      <c r="T53" s="124"/>
      <c r="U53" s="55" t="s">
        <v>246</v>
      </c>
      <c r="V53" s="56"/>
      <c r="W53" s="181"/>
      <c r="X53" s="8"/>
    </row>
    <row r="54" spans="2:24" s="8" customFormat="1" x14ac:dyDescent="0.2">
      <c r="B54" s="57"/>
      <c r="C54" s="58"/>
      <c r="D54" s="41"/>
      <c r="E54" s="42"/>
      <c r="F54" s="43"/>
      <c r="G54" s="44"/>
      <c r="H54" s="45"/>
      <c r="I54" s="46"/>
      <c r="J54" s="44"/>
      <c r="K54" s="44"/>
      <c r="L54" s="47"/>
      <c r="M54" s="46"/>
      <c r="N54" s="48"/>
      <c r="O54" s="49"/>
      <c r="P54" s="50"/>
      <c r="Q54" s="51"/>
      <c r="R54" s="52"/>
      <c r="S54" s="53"/>
      <c r="T54" s="54"/>
      <c r="U54" s="55"/>
      <c r="V54" s="56"/>
      <c r="W54" s="140"/>
    </row>
    <row r="55" spans="2:24" s="8" customFormat="1" ht="23.25" x14ac:dyDescent="0.2">
      <c r="B55" s="87" t="s">
        <v>42</v>
      </c>
      <c r="C55" s="93"/>
      <c r="D55" s="41"/>
      <c r="E55" s="42"/>
      <c r="F55" s="43"/>
      <c r="G55" s="44"/>
      <c r="H55" s="45"/>
      <c r="I55" s="46"/>
      <c r="J55" s="44"/>
      <c r="K55" s="44"/>
      <c r="L55" s="47"/>
      <c r="M55" s="46"/>
      <c r="N55" s="48"/>
      <c r="O55" s="49"/>
      <c r="P55" s="50"/>
      <c r="Q55" s="51"/>
      <c r="R55" s="52"/>
      <c r="S55" s="53"/>
      <c r="T55" s="54"/>
      <c r="U55" s="184" t="s">
        <v>244</v>
      </c>
      <c r="V55" s="182"/>
    </row>
    <row r="56" spans="2:24" s="8" customFormat="1" x14ac:dyDescent="0.2">
      <c r="B56" s="59" t="s">
        <v>213</v>
      </c>
      <c r="C56" s="142"/>
      <c r="D56" s="141"/>
      <c r="E56" s="42"/>
      <c r="F56" s="43"/>
      <c r="G56" s="44"/>
      <c r="H56" s="45"/>
      <c r="I56" s="46"/>
      <c r="J56" s="44"/>
      <c r="K56" s="44"/>
      <c r="L56" s="47"/>
      <c r="M56" s="46"/>
      <c r="N56" s="48"/>
      <c r="O56" s="49"/>
      <c r="P56" s="50"/>
      <c r="Q56" s="51"/>
      <c r="R56" s="52"/>
      <c r="S56" s="53"/>
      <c r="T56" s="54"/>
      <c r="U56" s="55"/>
      <c r="V56" s="56"/>
      <c r="W56" s="34"/>
    </row>
    <row r="57" spans="2:24" s="8" customFormat="1" x14ac:dyDescent="0.2">
      <c r="B57" s="89"/>
      <c r="C57" s="91" t="s">
        <v>186</v>
      </c>
      <c r="D57" s="105"/>
      <c r="E57" s="106"/>
      <c r="F57" s="106"/>
      <c r="G57" s="106"/>
      <c r="H57" s="107"/>
      <c r="I57" s="17">
        <v>48</v>
      </c>
      <c r="J57" s="9">
        <v>0.125</v>
      </c>
      <c r="K57" s="19">
        <v>4.2599999999999999E-3</v>
      </c>
      <c r="L57" s="18">
        <f t="shared" ref="L57:L84" si="2">+I57+J57*$D$10+K57*$D$11</f>
        <v>52.394480000000001</v>
      </c>
      <c r="M57" s="116"/>
      <c r="N57" s="106"/>
      <c r="O57" s="106"/>
      <c r="P57" s="118"/>
      <c r="Q57" s="119"/>
      <c r="R57" s="120"/>
      <c r="S57" s="121"/>
      <c r="T57" s="124"/>
      <c r="U57" s="202" t="s">
        <v>245</v>
      </c>
      <c r="V57" s="56"/>
      <c r="W57" s="34"/>
    </row>
    <row r="58" spans="2:24" s="8" customFormat="1" x14ac:dyDescent="0.2">
      <c r="B58" s="89"/>
      <c r="C58" s="91" t="s">
        <v>187</v>
      </c>
      <c r="D58" s="105"/>
      <c r="E58" s="106"/>
      <c r="F58" s="106"/>
      <c r="G58" s="106"/>
      <c r="H58" s="107"/>
      <c r="I58" s="17">
        <v>56.7</v>
      </c>
      <c r="J58" s="9">
        <v>7.6700000000000004E-2</v>
      </c>
      <c r="K58" s="19">
        <v>3.2100000000000002E-3</v>
      </c>
      <c r="L58" s="18">
        <f t="shared" si="2"/>
        <v>59.574080000000002</v>
      </c>
      <c r="M58" s="116"/>
      <c r="N58" s="106"/>
      <c r="O58" s="106"/>
      <c r="P58" s="118"/>
      <c r="Q58" s="119"/>
      <c r="R58" s="120"/>
      <c r="S58" s="121"/>
      <c r="T58" s="124"/>
      <c r="U58" s="202" t="s">
        <v>245</v>
      </c>
      <c r="V58" s="56"/>
      <c r="W58" s="34"/>
    </row>
    <row r="59" spans="2:24" s="8" customFormat="1" x14ac:dyDescent="0.2">
      <c r="B59" s="89"/>
      <c r="C59" s="91" t="s">
        <v>188</v>
      </c>
      <c r="D59" s="105"/>
      <c r="E59" s="106"/>
      <c r="F59" s="106"/>
      <c r="G59" s="106"/>
      <c r="H59" s="107"/>
      <c r="I59" s="17">
        <v>187</v>
      </c>
      <c r="J59" s="9">
        <v>0.123</v>
      </c>
      <c r="K59" s="19">
        <v>5.7999999999999996E-3</v>
      </c>
      <c r="L59" s="18">
        <f t="shared" si="2"/>
        <v>191.80339999999998</v>
      </c>
      <c r="M59" s="116"/>
      <c r="N59" s="106"/>
      <c r="O59" s="106"/>
      <c r="P59" s="118"/>
      <c r="Q59" s="119"/>
      <c r="R59" s="120"/>
      <c r="S59" s="121"/>
      <c r="T59" s="124"/>
      <c r="U59" s="202" t="s">
        <v>245</v>
      </c>
      <c r="V59" s="56"/>
      <c r="W59" s="34"/>
    </row>
    <row r="60" spans="2:24" s="8" customFormat="1" x14ac:dyDescent="0.2">
      <c r="B60" s="89"/>
      <c r="C60" s="91" t="s">
        <v>64</v>
      </c>
      <c r="D60" s="105"/>
      <c r="E60" s="106"/>
      <c r="F60" s="106"/>
      <c r="G60" s="106"/>
      <c r="H60" s="107"/>
      <c r="I60" s="17">
        <v>109</v>
      </c>
      <c r="J60" s="9">
        <v>8.7099999999999997E-2</v>
      </c>
      <c r="K60" s="19">
        <v>4.0899999999999999E-3</v>
      </c>
      <c r="L60" s="18">
        <f t="shared" si="2"/>
        <v>112.39631999999999</v>
      </c>
      <c r="M60" s="116"/>
      <c r="N60" s="106"/>
      <c r="O60" s="106"/>
      <c r="P60" s="118"/>
      <c r="Q60" s="119"/>
      <c r="R60" s="120"/>
      <c r="S60" s="121"/>
      <c r="T60" s="124"/>
      <c r="U60" s="202" t="s">
        <v>245</v>
      </c>
      <c r="V60" s="56"/>
      <c r="W60" s="34"/>
    </row>
    <row r="61" spans="2:24" s="8" customFormat="1" x14ac:dyDescent="0.2">
      <c r="B61" s="89"/>
      <c r="C61" s="91" t="s">
        <v>189</v>
      </c>
      <c r="D61" s="105"/>
      <c r="E61" s="106"/>
      <c r="F61" s="106"/>
      <c r="G61" s="106"/>
      <c r="H61" s="107"/>
      <c r="I61" s="17">
        <v>257</v>
      </c>
      <c r="J61" s="9">
        <v>0.20499999999999999</v>
      </c>
      <c r="K61" s="19">
        <v>4.8599999999999997E-3</v>
      </c>
      <c r="L61" s="18">
        <f t="shared" si="2"/>
        <v>263.57328000000001</v>
      </c>
      <c r="M61" s="116"/>
      <c r="N61" s="106"/>
      <c r="O61" s="106"/>
      <c r="P61" s="118"/>
      <c r="Q61" s="119"/>
      <c r="R61" s="120"/>
      <c r="S61" s="121"/>
      <c r="T61" s="124"/>
      <c r="U61" s="202" t="s">
        <v>245</v>
      </c>
      <c r="V61" s="56"/>
      <c r="W61" s="34"/>
    </row>
    <row r="62" spans="2:24" s="8" customFormat="1" x14ac:dyDescent="0.2">
      <c r="B62" s="89"/>
      <c r="C62" s="91" t="s">
        <v>190</v>
      </c>
      <c r="D62" s="105"/>
      <c r="E62" s="106"/>
      <c r="F62" s="106"/>
      <c r="G62" s="106"/>
      <c r="H62" s="107"/>
      <c r="I62" s="17">
        <v>192</v>
      </c>
      <c r="J62" s="9">
        <v>0.121</v>
      </c>
      <c r="K62" s="19">
        <v>7.45E-3</v>
      </c>
      <c r="L62" s="18">
        <f t="shared" si="2"/>
        <v>197.24510000000001</v>
      </c>
      <c r="M62" s="116"/>
      <c r="N62" s="106"/>
      <c r="O62" s="106"/>
      <c r="P62" s="118"/>
      <c r="Q62" s="119"/>
      <c r="R62" s="120"/>
      <c r="S62" s="121"/>
      <c r="T62" s="124"/>
      <c r="U62" s="202" t="s">
        <v>245</v>
      </c>
      <c r="V62" s="56"/>
      <c r="W62" s="34"/>
    </row>
    <row r="63" spans="2:24" s="8" customFormat="1" x14ac:dyDescent="0.2">
      <c r="B63" s="89"/>
      <c r="C63" s="91" t="s">
        <v>191</v>
      </c>
      <c r="D63" s="105"/>
      <c r="E63" s="106"/>
      <c r="F63" s="106"/>
      <c r="G63" s="106"/>
      <c r="H63" s="107"/>
      <c r="I63" s="17">
        <v>109</v>
      </c>
      <c r="J63" s="9">
        <v>0.17399999999999999</v>
      </c>
      <c r="K63" s="19">
        <v>9.0299999999999998E-3</v>
      </c>
      <c r="L63" s="18">
        <f t="shared" si="2"/>
        <v>116.04093999999999</v>
      </c>
      <c r="M63" s="116"/>
      <c r="N63" s="106"/>
      <c r="O63" s="106"/>
      <c r="P63" s="118"/>
      <c r="Q63" s="119"/>
      <c r="R63" s="120"/>
      <c r="S63" s="121"/>
      <c r="T63" s="124"/>
      <c r="U63" s="202" t="s">
        <v>245</v>
      </c>
      <c r="V63" s="56"/>
      <c r="W63" s="34"/>
    </row>
    <row r="64" spans="2:24" s="8" customFormat="1" x14ac:dyDescent="0.2">
      <c r="B64" s="89"/>
      <c r="C64" s="91" t="s">
        <v>192</v>
      </c>
      <c r="D64" s="105"/>
      <c r="E64" s="106"/>
      <c r="F64" s="106"/>
      <c r="G64" s="106"/>
      <c r="H64" s="107"/>
      <c r="I64" s="17">
        <v>315</v>
      </c>
      <c r="J64" s="9">
        <v>0.1</v>
      </c>
      <c r="K64" s="19">
        <v>1.2699999999999999E-2</v>
      </c>
      <c r="L64" s="18">
        <f t="shared" si="2"/>
        <v>321.28460000000001</v>
      </c>
      <c r="M64" s="116"/>
      <c r="N64" s="106"/>
      <c r="O64" s="106"/>
      <c r="P64" s="118"/>
      <c r="Q64" s="119"/>
      <c r="R64" s="120"/>
      <c r="S64" s="121"/>
      <c r="T64" s="124"/>
      <c r="U64" s="202" t="s">
        <v>245</v>
      </c>
      <c r="V64" s="56"/>
      <c r="W64" s="34"/>
    </row>
    <row r="65" spans="2:23" s="8" customFormat="1" x14ac:dyDescent="0.2">
      <c r="B65" s="89"/>
      <c r="C65" s="91" t="s">
        <v>193</v>
      </c>
      <c r="D65" s="105"/>
      <c r="E65" s="106"/>
      <c r="F65" s="106"/>
      <c r="G65" s="106"/>
      <c r="H65" s="107"/>
      <c r="I65" s="17">
        <v>56.9</v>
      </c>
      <c r="J65" s="9">
        <v>0.189</v>
      </c>
      <c r="K65" s="19">
        <v>7.7200000000000003E-3</v>
      </c>
      <c r="L65" s="18">
        <f t="shared" si="2"/>
        <v>63.925559999999997</v>
      </c>
      <c r="M65" s="116"/>
      <c r="N65" s="106"/>
      <c r="O65" s="106"/>
      <c r="P65" s="118"/>
      <c r="Q65" s="119"/>
      <c r="R65" s="120"/>
      <c r="S65" s="121"/>
      <c r="T65" s="124"/>
      <c r="U65" s="202" t="s">
        <v>245</v>
      </c>
      <c r="V65" s="56"/>
      <c r="W65" s="34"/>
    </row>
    <row r="66" spans="2:23" s="8" customFormat="1" x14ac:dyDescent="0.2">
      <c r="B66" s="89"/>
      <c r="C66" s="91" t="s">
        <v>194</v>
      </c>
      <c r="D66" s="105"/>
      <c r="E66" s="106"/>
      <c r="F66" s="106"/>
      <c r="G66" s="106"/>
      <c r="H66" s="107"/>
      <c r="I66" s="17">
        <v>21.6</v>
      </c>
      <c r="J66" s="9">
        <v>3.3399999999999999E-2</v>
      </c>
      <c r="K66" s="19">
        <v>9.7799999999999992E-4</v>
      </c>
      <c r="L66" s="18">
        <f t="shared" si="2"/>
        <v>22.726444000000001</v>
      </c>
      <c r="M66" s="116"/>
      <c r="N66" s="106"/>
      <c r="O66" s="106"/>
      <c r="P66" s="118"/>
      <c r="Q66" s="119"/>
      <c r="R66" s="120"/>
      <c r="S66" s="121"/>
      <c r="T66" s="124"/>
      <c r="U66" s="202" t="s">
        <v>245</v>
      </c>
      <c r="V66" s="56"/>
      <c r="W66" s="34"/>
    </row>
    <row r="67" spans="2:23" s="8" customFormat="1" x14ac:dyDescent="0.2">
      <c r="B67" s="89"/>
      <c r="C67" s="91" t="s">
        <v>195</v>
      </c>
      <c r="D67" s="105"/>
      <c r="E67" s="106"/>
      <c r="F67" s="106"/>
      <c r="G67" s="106"/>
      <c r="H67" s="107"/>
      <c r="I67" s="17">
        <v>163</v>
      </c>
      <c r="J67" s="9">
        <v>0.19800000000000001</v>
      </c>
      <c r="K67" s="19">
        <v>7.9299999999999995E-3</v>
      </c>
      <c r="L67" s="18">
        <f t="shared" si="2"/>
        <v>170.31313999999998</v>
      </c>
      <c r="M67" s="116"/>
      <c r="N67" s="106"/>
      <c r="O67" s="106"/>
      <c r="P67" s="118"/>
      <c r="Q67" s="119"/>
      <c r="R67" s="120"/>
      <c r="S67" s="121"/>
      <c r="T67" s="124"/>
      <c r="U67" s="202" t="s">
        <v>245</v>
      </c>
      <c r="V67" s="56"/>
      <c r="W67" s="34"/>
    </row>
    <row r="68" spans="2:23" s="8" customFormat="1" x14ac:dyDescent="0.2">
      <c r="B68" s="89"/>
      <c r="C68" s="91" t="s">
        <v>196</v>
      </c>
      <c r="D68" s="105"/>
      <c r="E68" s="106"/>
      <c r="F68" s="106"/>
      <c r="G68" s="106"/>
      <c r="H68" s="107"/>
      <c r="I68" s="17">
        <v>238</v>
      </c>
      <c r="J68" s="9">
        <v>0.13200000000000001</v>
      </c>
      <c r="K68" s="19">
        <v>6.6100000000000004E-3</v>
      </c>
      <c r="L68" s="18">
        <f t="shared" si="2"/>
        <v>243.26978000000003</v>
      </c>
      <c r="M68" s="116"/>
      <c r="N68" s="106"/>
      <c r="O68" s="106"/>
      <c r="P68" s="118"/>
      <c r="Q68" s="119"/>
      <c r="R68" s="120"/>
      <c r="S68" s="121"/>
      <c r="T68" s="124"/>
      <c r="U68" s="202" t="s">
        <v>245</v>
      </c>
      <c r="V68" s="56"/>
      <c r="W68" s="34"/>
    </row>
    <row r="69" spans="2:23" s="8" customFormat="1" x14ac:dyDescent="0.2">
      <c r="B69" s="89"/>
      <c r="C69" s="91" t="s">
        <v>197</v>
      </c>
      <c r="D69" s="105"/>
      <c r="E69" s="106"/>
      <c r="F69" s="106"/>
      <c r="G69" s="106"/>
      <c r="H69" s="107"/>
      <c r="I69" s="17">
        <v>115</v>
      </c>
      <c r="J69" s="9">
        <v>0.157</v>
      </c>
      <c r="K69" s="19">
        <v>4.8599999999999997E-3</v>
      </c>
      <c r="L69" s="18">
        <f t="shared" si="2"/>
        <v>120.37327999999999</v>
      </c>
      <c r="M69" s="116"/>
      <c r="N69" s="106"/>
      <c r="O69" s="106"/>
      <c r="P69" s="118"/>
      <c r="Q69" s="119"/>
      <c r="R69" s="120"/>
      <c r="S69" s="121"/>
      <c r="T69" s="124"/>
      <c r="U69" s="202" t="s">
        <v>245</v>
      </c>
      <c r="V69" s="56"/>
      <c r="W69" s="34"/>
    </row>
    <row r="70" spans="2:23" s="8" customFormat="1" x14ac:dyDescent="0.2">
      <c r="B70" s="89"/>
      <c r="C70" s="91" t="s">
        <v>198</v>
      </c>
      <c r="D70" s="105"/>
      <c r="E70" s="106"/>
      <c r="F70" s="106"/>
      <c r="G70" s="106"/>
      <c r="H70" s="107"/>
      <c r="I70" s="17">
        <v>161</v>
      </c>
      <c r="J70" s="9">
        <v>6.7400000000000002E-2</v>
      </c>
      <c r="K70" s="19">
        <v>5.64E-3</v>
      </c>
      <c r="L70" s="18">
        <f t="shared" si="2"/>
        <v>164.36572000000001</v>
      </c>
      <c r="M70" s="116"/>
      <c r="N70" s="106"/>
      <c r="O70" s="106"/>
      <c r="P70" s="118"/>
      <c r="Q70" s="119"/>
      <c r="R70" s="120"/>
      <c r="S70" s="121"/>
      <c r="T70" s="124"/>
      <c r="U70" s="202" t="s">
        <v>245</v>
      </c>
      <c r="V70" s="56"/>
      <c r="W70" s="34"/>
    </row>
    <row r="71" spans="2:23" s="8" customFormat="1" x14ac:dyDescent="0.2">
      <c r="B71" s="89"/>
      <c r="C71" s="91" t="s">
        <v>199</v>
      </c>
      <c r="D71" s="105"/>
      <c r="E71" s="106"/>
      <c r="F71" s="106"/>
      <c r="G71" s="106"/>
      <c r="H71" s="107"/>
      <c r="I71" s="17">
        <v>131</v>
      </c>
      <c r="J71" s="9">
        <v>0.23200000000000001</v>
      </c>
      <c r="K71" s="19">
        <v>5.0299999999999997E-3</v>
      </c>
      <c r="L71" s="18">
        <f t="shared" si="2"/>
        <v>138.29894000000002</v>
      </c>
      <c r="M71" s="116"/>
      <c r="N71" s="106"/>
      <c r="O71" s="106"/>
      <c r="P71" s="118"/>
      <c r="Q71" s="119"/>
      <c r="R71" s="120"/>
      <c r="S71" s="121"/>
      <c r="T71" s="124"/>
      <c r="U71" s="202" t="s">
        <v>245</v>
      </c>
      <c r="V71" s="56"/>
      <c r="W71" s="34"/>
    </row>
    <row r="72" spans="2:23" s="8" customFormat="1" x14ac:dyDescent="0.2">
      <c r="B72" s="89"/>
      <c r="C72" s="91" t="s">
        <v>200</v>
      </c>
      <c r="D72" s="105"/>
      <c r="E72" s="106"/>
      <c r="F72" s="106"/>
      <c r="G72" s="106"/>
      <c r="H72" s="107"/>
      <c r="I72" s="17">
        <v>55.9</v>
      </c>
      <c r="J72" s="9">
        <v>0.18</v>
      </c>
      <c r="K72" s="19">
        <v>2.82E-3</v>
      </c>
      <c r="L72" s="18">
        <f t="shared" si="2"/>
        <v>61.240359999999995</v>
      </c>
      <c r="M72" s="116"/>
      <c r="N72" s="106"/>
      <c r="O72" s="106"/>
      <c r="P72" s="118"/>
      <c r="Q72" s="119"/>
      <c r="R72" s="120"/>
      <c r="S72" s="121"/>
      <c r="T72" s="124"/>
      <c r="U72" s="202" t="s">
        <v>245</v>
      </c>
      <c r="V72" s="56"/>
      <c r="W72" s="34"/>
    </row>
    <row r="73" spans="2:23" s="8" customFormat="1" x14ac:dyDescent="0.2">
      <c r="B73" s="89"/>
      <c r="C73" s="91" t="s">
        <v>201</v>
      </c>
      <c r="D73" s="105"/>
      <c r="E73" s="106"/>
      <c r="F73" s="106"/>
      <c r="G73" s="106"/>
      <c r="H73" s="107"/>
      <c r="I73" s="17">
        <v>118</v>
      </c>
      <c r="J73" s="9">
        <v>0.34799999999999998</v>
      </c>
      <c r="K73" s="19">
        <v>3.6700000000000001E-3</v>
      </c>
      <c r="L73" s="18">
        <f t="shared" si="2"/>
        <v>127.79366</v>
      </c>
      <c r="M73" s="116"/>
      <c r="N73" s="106"/>
      <c r="O73" s="106"/>
      <c r="P73" s="118"/>
      <c r="Q73" s="119"/>
      <c r="R73" s="120"/>
      <c r="S73" s="121"/>
      <c r="T73" s="124"/>
      <c r="U73" s="202" t="s">
        <v>245</v>
      </c>
      <c r="V73" s="56"/>
      <c r="W73" s="34"/>
    </row>
    <row r="74" spans="2:23" s="8" customFormat="1" x14ac:dyDescent="0.2">
      <c r="B74" s="89"/>
      <c r="C74" s="91" t="s">
        <v>202</v>
      </c>
      <c r="D74" s="105"/>
      <c r="E74" s="106"/>
      <c r="F74" s="106"/>
      <c r="G74" s="106"/>
      <c r="H74" s="107"/>
      <c r="I74" s="17">
        <v>79</v>
      </c>
      <c r="J74" s="9">
        <v>0.13</v>
      </c>
      <c r="K74" s="19">
        <v>1.31E-3</v>
      </c>
      <c r="L74" s="18">
        <f t="shared" si="2"/>
        <v>82.640379999999993</v>
      </c>
      <c r="M74" s="116"/>
      <c r="N74" s="106"/>
      <c r="O74" s="106"/>
      <c r="P74" s="118"/>
      <c r="Q74" s="119"/>
      <c r="R74" s="120"/>
      <c r="S74" s="121"/>
      <c r="T74" s="124"/>
      <c r="U74" s="202" t="s">
        <v>245</v>
      </c>
      <c r="V74" s="56"/>
      <c r="W74" s="34"/>
    </row>
    <row r="75" spans="2:23" s="8" customFormat="1" x14ac:dyDescent="0.2">
      <c r="B75" s="89"/>
      <c r="C75" s="91" t="s">
        <v>203</v>
      </c>
      <c r="D75" s="105"/>
      <c r="E75" s="106"/>
      <c r="F75" s="106"/>
      <c r="G75" s="106"/>
      <c r="H75" s="107"/>
      <c r="I75" s="17">
        <v>348</v>
      </c>
      <c r="J75" s="9">
        <v>0.27700000000000002</v>
      </c>
      <c r="K75" s="19">
        <v>6.0899999999999999E-3</v>
      </c>
      <c r="L75" s="18">
        <f t="shared" si="2"/>
        <v>356.73982000000001</v>
      </c>
      <c r="M75" s="116"/>
      <c r="N75" s="106"/>
      <c r="O75" s="106"/>
      <c r="P75" s="118"/>
      <c r="Q75" s="119"/>
      <c r="R75" s="120"/>
      <c r="S75" s="121"/>
      <c r="T75" s="124"/>
      <c r="U75" s="202" t="s">
        <v>245</v>
      </c>
      <c r="V75" s="56"/>
      <c r="W75" s="34"/>
    </row>
    <row r="76" spans="2:23" s="8" customFormat="1" x14ac:dyDescent="0.2">
      <c r="B76" s="89"/>
      <c r="C76" s="91" t="s">
        <v>204</v>
      </c>
      <c r="D76" s="105"/>
      <c r="E76" s="106"/>
      <c r="F76" s="106"/>
      <c r="G76" s="106"/>
      <c r="H76" s="107"/>
      <c r="I76" s="17">
        <v>141</v>
      </c>
      <c r="J76" s="9">
        <v>0.159</v>
      </c>
      <c r="K76" s="19">
        <v>5.7499999999999999E-3</v>
      </c>
      <c r="L76" s="18">
        <f t="shared" si="2"/>
        <v>146.6885</v>
      </c>
      <c r="M76" s="116"/>
      <c r="N76" s="106"/>
      <c r="O76" s="106"/>
      <c r="P76" s="118"/>
      <c r="Q76" s="119"/>
      <c r="R76" s="120"/>
      <c r="S76" s="121"/>
      <c r="T76" s="124"/>
      <c r="U76" s="202" t="s">
        <v>245</v>
      </c>
      <c r="V76" s="56"/>
      <c r="W76" s="34"/>
    </row>
    <row r="77" spans="2:23" s="8" customFormat="1" x14ac:dyDescent="0.2">
      <c r="B77" s="89"/>
      <c r="C77" s="91" t="s">
        <v>205</v>
      </c>
      <c r="D77" s="105"/>
      <c r="E77" s="106"/>
      <c r="F77" s="106"/>
      <c r="G77" s="106"/>
      <c r="H77" s="107"/>
      <c r="I77" s="17">
        <v>270</v>
      </c>
      <c r="J77" s="9">
        <v>0.53200000000000003</v>
      </c>
      <c r="K77" s="19">
        <v>1.2500000000000001E-2</v>
      </c>
      <c r="L77" s="18">
        <f t="shared" si="2"/>
        <v>287.02500000000003</v>
      </c>
      <c r="M77" s="116"/>
      <c r="N77" s="106"/>
      <c r="O77" s="106"/>
      <c r="P77" s="118"/>
      <c r="Q77" s="119"/>
      <c r="R77" s="120"/>
      <c r="S77" s="121"/>
      <c r="T77" s="124"/>
      <c r="U77" s="202" t="s">
        <v>245</v>
      </c>
      <c r="V77" s="56"/>
      <c r="W77" s="34"/>
    </row>
    <row r="78" spans="2:23" s="8" customFormat="1" x14ac:dyDescent="0.2">
      <c r="B78" s="89"/>
      <c r="C78" s="91" t="s">
        <v>206</v>
      </c>
      <c r="D78" s="105"/>
      <c r="E78" s="106"/>
      <c r="F78" s="106"/>
      <c r="G78" s="106"/>
      <c r="H78" s="107"/>
      <c r="I78" s="17">
        <v>133</v>
      </c>
      <c r="J78" s="9">
        <v>8.6199999999999999E-2</v>
      </c>
      <c r="K78" s="19">
        <v>7.2199999999999999E-3</v>
      </c>
      <c r="L78" s="18">
        <f t="shared" si="2"/>
        <v>137.30655999999999</v>
      </c>
      <c r="M78" s="116"/>
      <c r="N78" s="106"/>
      <c r="O78" s="106"/>
      <c r="P78" s="118"/>
      <c r="Q78" s="119"/>
      <c r="R78" s="120"/>
      <c r="S78" s="121"/>
      <c r="T78" s="124"/>
      <c r="U78" s="202" t="s">
        <v>245</v>
      </c>
      <c r="V78" s="56"/>
      <c r="W78" s="34"/>
    </row>
    <row r="79" spans="2:23" s="8" customFormat="1" x14ac:dyDescent="0.2">
      <c r="B79" s="89"/>
      <c r="C79" s="91" t="s">
        <v>207</v>
      </c>
      <c r="D79" s="105"/>
      <c r="E79" s="106"/>
      <c r="F79" s="106"/>
      <c r="G79" s="106"/>
      <c r="H79" s="107"/>
      <c r="I79" s="17">
        <v>172</v>
      </c>
      <c r="J79" s="9">
        <v>0.127</v>
      </c>
      <c r="K79" s="19">
        <v>4.8300000000000001E-3</v>
      </c>
      <c r="L79" s="18">
        <f t="shared" si="2"/>
        <v>176.61434</v>
      </c>
      <c r="M79" s="116"/>
      <c r="N79" s="106"/>
      <c r="O79" s="106"/>
      <c r="P79" s="118"/>
      <c r="Q79" s="119"/>
      <c r="R79" s="120"/>
      <c r="S79" s="121"/>
      <c r="T79" s="124"/>
      <c r="U79" s="202" t="s">
        <v>245</v>
      </c>
      <c r="V79" s="56"/>
      <c r="W79" s="34"/>
    </row>
    <row r="80" spans="2:23" s="8" customFormat="1" x14ac:dyDescent="0.2">
      <c r="B80" s="89"/>
      <c r="C80" s="91" t="s">
        <v>208</v>
      </c>
      <c r="D80" s="105"/>
      <c r="E80" s="106"/>
      <c r="F80" s="106"/>
      <c r="G80" s="106"/>
      <c r="H80" s="107"/>
      <c r="I80" s="17">
        <v>65.900000000000006</v>
      </c>
      <c r="J80" s="9">
        <v>0.109</v>
      </c>
      <c r="K80" s="19">
        <v>3.3899999999999998E-3</v>
      </c>
      <c r="L80" s="18">
        <f t="shared" si="2"/>
        <v>69.635220000000004</v>
      </c>
      <c r="M80" s="116"/>
      <c r="N80" s="106"/>
      <c r="O80" s="106"/>
      <c r="P80" s="118"/>
      <c r="Q80" s="119"/>
      <c r="R80" s="120"/>
      <c r="S80" s="121"/>
      <c r="T80" s="124"/>
      <c r="U80" s="202" t="s">
        <v>245</v>
      </c>
      <c r="V80" s="56"/>
      <c r="W80" s="34"/>
    </row>
    <row r="81" spans="2:24" s="8" customFormat="1" x14ac:dyDescent="0.2">
      <c r="B81" s="89"/>
      <c r="C81" s="91" t="s">
        <v>212</v>
      </c>
      <c r="D81" s="105"/>
      <c r="E81" s="106"/>
      <c r="F81" s="106"/>
      <c r="G81" s="106"/>
      <c r="H81" s="107"/>
      <c r="I81" s="17">
        <v>120</v>
      </c>
      <c r="J81" s="9">
        <v>3.7199999999999997E-2</v>
      </c>
      <c r="K81" s="19">
        <v>4.3400000000000001E-3</v>
      </c>
      <c r="L81" s="18">
        <f t="shared" si="2"/>
        <v>122.22332</v>
      </c>
      <c r="M81" s="116"/>
      <c r="N81" s="106"/>
      <c r="O81" s="106"/>
      <c r="P81" s="118"/>
      <c r="Q81" s="119"/>
      <c r="R81" s="120"/>
      <c r="S81" s="121"/>
      <c r="T81" s="124"/>
      <c r="U81" s="202" t="s">
        <v>245</v>
      </c>
      <c r="V81" s="56"/>
      <c r="W81" s="34"/>
    </row>
    <row r="82" spans="2:24" s="8" customFormat="1" x14ac:dyDescent="0.2">
      <c r="B82" s="89"/>
      <c r="C82" s="91" t="s">
        <v>209</v>
      </c>
      <c r="D82" s="105"/>
      <c r="E82" s="106"/>
      <c r="F82" s="106"/>
      <c r="G82" s="106"/>
      <c r="H82" s="107"/>
      <c r="I82" s="17">
        <v>102</v>
      </c>
      <c r="J82" s="9">
        <v>0.159</v>
      </c>
      <c r="K82" s="19">
        <v>3.8999999999999998E-3</v>
      </c>
      <c r="L82" s="18">
        <f t="shared" si="2"/>
        <v>107.13719999999999</v>
      </c>
      <c r="M82" s="116"/>
      <c r="N82" s="106"/>
      <c r="O82" s="106"/>
      <c r="P82" s="118"/>
      <c r="Q82" s="119"/>
      <c r="R82" s="120"/>
      <c r="S82" s="121"/>
      <c r="T82" s="124"/>
      <c r="U82" s="202" t="s">
        <v>245</v>
      </c>
      <c r="V82" s="56"/>
      <c r="W82" s="34"/>
    </row>
    <row r="83" spans="2:24" s="8" customFormat="1" x14ac:dyDescent="0.2">
      <c r="B83" s="89"/>
      <c r="C83" s="91" t="s">
        <v>210</v>
      </c>
      <c r="D83" s="105"/>
      <c r="E83" s="106"/>
      <c r="F83" s="106"/>
      <c r="G83" s="106"/>
      <c r="H83" s="107"/>
      <c r="I83" s="17">
        <v>5.1100000000000003</v>
      </c>
      <c r="J83" s="9">
        <v>7.3800000000000003E-3</v>
      </c>
      <c r="K83" s="19">
        <v>2.7899999999999999E-3</v>
      </c>
      <c r="L83" s="18">
        <f t="shared" si="2"/>
        <v>6.1259199999999998</v>
      </c>
      <c r="M83" s="116"/>
      <c r="N83" s="106"/>
      <c r="O83" s="106"/>
      <c r="P83" s="118"/>
      <c r="Q83" s="119"/>
      <c r="R83" s="120"/>
      <c r="S83" s="121"/>
      <c r="T83" s="124"/>
      <c r="U83" s="202" t="s">
        <v>245</v>
      </c>
      <c r="V83" s="56"/>
      <c r="W83" s="34"/>
    </row>
    <row r="84" spans="2:24" s="8" customFormat="1" x14ac:dyDescent="0.2">
      <c r="B84" s="89"/>
      <c r="C84" s="91" t="s">
        <v>211</v>
      </c>
      <c r="D84" s="105"/>
      <c r="E84" s="106"/>
      <c r="F84" s="106"/>
      <c r="G84" s="106"/>
      <c r="H84" s="107"/>
      <c r="I84" s="17">
        <v>155</v>
      </c>
      <c r="J84" s="9">
        <v>0.33200000000000002</v>
      </c>
      <c r="K84" s="19">
        <v>7.3099999999999997E-3</v>
      </c>
      <c r="L84" s="18">
        <f t="shared" si="2"/>
        <v>165.47838000000002</v>
      </c>
      <c r="M84" s="116"/>
      <c r="N84" s="106"/>
      <c r="O84" s="106"/>
      <c r="P84" s="118"/>
      <c r="Q84" s="119"/>
      <c r="R84" s="120"/>
      <c r="S84" s="121"/>
      <c r="T84" s="124"/>
      <c r="U84" s="202" t="s">
        <v>245</v>
      </c>
      <c r="V84" s="56"/>
      <c r="W84" s="34"/>
    </row>
    <row r="85" spans="2:24" s="8" customFormat="1" x14ac:dyDescent="0.2">
      <c r="B85" s="89"/>
      <c r="C85" s="91"/>
      <c r="D85" s="145"/>
      <c r="E85" s="42"/>
      <c r="F85" s="43"/>
      <c r="G85" s="44"/>
      <c r="H85" s="185"/>
      <c r="I85" s="46"/>
      <c r="J85" s="44"/>
      <c r="K85" s="44"/>
      <c r="L85" s="47"/>
      <c r="M85" s="46"/>
      <c r="N85" s="48"/>
      <c r="O85" s="49"/>
      <c r="P85" s="50"/>
      <c r="Q85" s="51"/>
      <c r="R85" s="52"/>
      <c r="S85" s="53"/>
      <c r="T85" s="54"/>
      <c r="U85" s="184"/>
      <c r="V85" s="56"/>
      <c r="W85" s="34"/>
    </row>
    <row r="86" spans="2:24" s="8" customFormat="1" x14ac:dyDescent="0.2">
      <c r="B86" s="59" t="s">
        <v>61</v>
      </c>
      <c r="C86" s="91"/>
      <c r="D86" s="145"/>
      <c r="E86" s="42"/>
      <c r="F86" s="43"/>
      <c r="G86" s="44"/>
      <c r="H86" s="185"/>
      <c r="I86" s="46"/>
      <c r="J86" s="44"/>
      <c r="K86" s="44"/>
      <c r="L86" s="47"/>
      <c r="M86" s="46"/>
      <c r="N86" s="48"/>
      <c r="O86" s="49"/>
      <c r="P86" s="50"/>
      <c r="Q86" s="51"/>
      <c r="R86" s="52"/>
      <c r="S86" s="53"/>
      <c r="T86" s="54"/>
      <c r="U86" s="184"/>
      <c r="V86" s="56"/>
      <c r="W86" s="34"/>
    </row>
    <row r="87" spans="2:24" x14ac:dyDescent="0.2">
      <c r="B87" s="59"/>
      <c r="C87" s="91" t="s">
        <v>62</v>
      </c>
      <c r="D87" s="105"/>
      <c r="E87" s="106"/>
      <c r="F87" s="106"/>
      <c r="G87" s="106"/>
      <c r="H87" s="107"/>
      <c r="I87" s="17">
        <v>0.36099999999999999</v>
      </c>
      <c r="J87" s="9">
        <v>1.5299999999999999E-3</v>
      </c>
      <c r="K87" s="19">
        <v>9.7299999999999993E-5</v>
      </c>
      <c r="L87" s="18">
        <f t="shared" ref="L87:L101" si="3">+I87+J87*$D$10+K87*$D$11</f>
        <v>0.4282454</v>
      </c>
      <c r="M87" s="116"/>
      <c r="N87" s="106"/>
      <c r="O87" s="106"/>
      <c r="P87" s="118"/>
      <c r="Q87" s="119"/>
      <c r="R87" s="120"/>
      <c r="S87" s="121"/>
      <c r="T87" s="124"/>
      <c r="U87" s="202" t="s">
        <v>245</v>
      </c>
      <c r="V87" s="56"/>
      <c r="X87" s="8"/>
    </row>
    <row r="88" spans="2:24" x14ac:dyDescent="0.2">
      <c r="B88" s="59"/>
      <c r="C88" s="91" t="s">
        <v>75</v>
      </c>
      <c r="D88" s="105"/>
      <c r="E88" s="106"/>
      <c r="F88" s="106"/>
      <c r="G88" s="106"/>
      <c r="H88" s="107"/>
      <c r="I88" s="10">
        <v>196</v>
      </c>
      <c r="J88" s="9">
        <v>0.61799999999999999</v>
      </c>
      <c r="K88" s="19">
        <v>2.1700000000000001E-3</v>
      </c>
      <c r="L88" s="13">
        <f t="shared" si="3"/>
        <v>212.09665999999999</v>
      </c>
      <c r="M88" s="116"/>
      <c r="N88" s="106"/>
      <c r="O88" s="106"/>
      <c r="P88" s="118"/>
      <c r="Q88" s="119"/>
      <c r="R88" s="120"/>
      <c r="S88" s="121"/>
      <c r="T88" s="124"/>
      <c r="U88" s="202" t="s">
        <v>245</v>
      </c>
      <c r="V88" s="56"/>
      <c r="X88" s="8"/>
    </row>
    <row r="89" spans="2:24" x14ac:dyDescent="0.2">
      <c r="B89" s="59"/>
      <c r="C89" s="91" t="s">
        <v>63</v>
      </c>
      <c r="D89" s="105"/>
      <c r="E89" s="106"/>
      <c r="F89" s="106"/>
      <c r="G89" s="106"/>
      <c r="H89" s="107"/>
      <c r="I89" s="10">
        <v>270</v>
      </c>
      <c r="J89" s="9">
        <v>6.7299999999999999E-2</v>
      </c>
      <c r="K89" s="19">
        <v>8.3400000000000002E-3</v>
      </c>
      <c r="L89" s="13">
        <f t="shared" si="3"/>
        <v>274.16782000000001</v>
      </c>
      <c r="M89" s="116"/>
      <c r="N89" s="106"/>
      <c r="O89" s="106"/>
      <c r="P89" s="118"/>
      <c r="Q89" s="119"/>
      <c r="R89" s="120"/>
      <c r="S89" s="121"/>
      <c r="T89" s="124"/>
      <c r="U89" s="202" t="s">
        <v>245</v>
      </c>
      <c r="V89" s="56"/>
      <c r="X89" s="8"/>
    </row>
    <row r="90" spans="2:24" x14ac:dyDescent="0.2">
      <c r="B90" s="59"/>
      <c r="C90" s="91" t="s">
        <v>65</v>
      </c>
      <c r="D90" s="105"/>
      <c r="E90" s="106"/>
      <c r="F90" s="106"/>
      <c r="G90" s="106"/>
      <c r="H90" s="107"/>
      <c r="I90" s="10">
        <v>302</v>
      </c>
      <c r="J90" s="9">
        <v>9.6299999999999997E-2</v>
      </c>
      <c r="K90" s="19">
        <v>9.1199999999999996E-3</v>
      </c>
      <c r="L90" s="13">
        <f t="shared" si="3"/>
        <v>307.12526000000003</v>
      </c>
      <c r="M90" s="116"/>
      <c r="N90" s="106"/>
      <c r="O90" s="106"/>
      <c r="P90" s="118"/>
      <c r="Q90" s="119"/>
      <c r="R90" s="120"/>
      <c r="S90" s="121"/>
      <c r="T90" s="124"/>
      <c r="U90" s="202" t="s">
        <v>245</v>
      </c>
      <c r="V90" s="56"/>
      <c r="X90" s="8"/>
    </row>
    <row r="91" spans="2:24" x14ac:dyDescent="0.2">
      <c r="B91" s="59"/>
      <c r="C91" s="91" t="s">
        <v>214</v>
      </c>
      <c r="D91" s="105"/>
      <c r="E91" s="106"/>
      <c r="F91" s="106"/>
      <c r="G91" s="106"/>
      <c r="H91" s="107"/>
      <c r="I91" s="10">
        <v>263</v>
      </c>
      <c r="J91" s="9">
        <v>0.21</v>
      </c>
      <c r="K91" s="19">
        <v>4.5700000000000003E-3</v>
      </c>
      <c r="L91" s="13">
        <f t="shared" si="3"/>
        <v>269.61185999999998</v>
      </c>
      <c r="M91" s="116"/>
      <c r="N91" s="106"/>
      <c r="O91" s="106"/>
      <c r="P91" s="118"/>
      <c r="Q91" s="119"/>
      <c r="R91" s="120"/>
      <c r="S91" s="121"/>
      <c r="T91" s="124"/>
      <c r="U91" s="202" t="s">
        <v>245</v>
      </c>
      <c r="V91" s="56"/>
      <c r="X91" s="8"/>
    </row>
    <row r="92" spans="2:24" x14ac:dyDescent="0.2">
      <c r="B92" s="59"/>
      <c r="C92" s="91" t="s">
        <v>72</v>
      </c>
      <c r="D92" s="105"/>
      <c r="E92" s="106"/>
      <c r="F92" s="106"/>
      <c r="G92" s="106"/>
      <c r="H92" s="107"/>
      <c r="I92" s="17">
        <v>0.32100000000000001</v>
      </c>
      <c r="J92" s="9">
        <v>1.14E-3</v>
      </c>
      <c r="K92" s="19">
        <v>7.0500000000000006E-5</v>
      </c>
      <c r="L92" s="18">
        <f t="shared" si="3"/>
        <v>0.37050900000000003</v>
      </c>
      <c r="M92" s="116"/>
      <c r="N92" s="106"/>
      <c r="O92" s="106"/>
      <c r="P92" s="118"/>
      <c r="Q92" s="119"/>
      <c r="R92" s="120"/>
      <c r="S92" s="121"/>
      <c r="T92" s="124"/>
      <c r="U92" s="202" t="s">
        <v>245</v>
      </c>
      <c r="V92" s="56"/>
      <c r="X92" s="8"/>
    </row>
    <row r="93" spans="2:24" x14ac:dyDescent="0.2">
      <c r="B93" s="59"/>
      <c r="C93" s="58" t="s">
        <v>215</v>
      </c>
      <c r="D93" s="105"/>
      <c r="E93" s="106"/>
      <c r="F93" s="108"/>
      <c r="G93" s="109"/>
      <c r="H93" s="107"/>
      <c r="I93" s="17">
        <v>396</v>
      </c>
      <c r="J93" s="9">
        <v>9.4E-2</v>
      </c>
      <c r="K93" s="19">
        <v>1.2200000000000001E-2</v>
      </c>
      <c r="L93" s="18">
        <f t="shared" si="3"/>
        <v>401.98560000000003</v>
      </c>
      <c r="M93" s="116"/>
      <c r="N93" s="117"/>
      <c r="O93" s="114"/>
      <c r="P93" s="118"/>
      <c r="Q93" s="119"/>
      <c r="R93" s="120"/>
      <c r="S93" s="121"/>
      <c r="T93" s="124"/>
      <c r="U93" s="202" t="s">
        <v>245</v>
      </c>
      <c r="V93" s="56"/>
      <c r="X93" s="8"/>
    </row>
    <row r="94" spans="2:24" x14ac:dyDescent="0.2">
      <c r="B94" s="59"/>
      <c r="C94" s="58" t="s">
        <v>77</v>
      </c>
      <c r="D94" s="105"/>
      <c r="E94" s="106"/>
      <c r="F94" s="108"/>
      <c r="G94" s="109"/>
      <c r="H94" s="107"/>
      <c r="I94" s="17">
        <v>184</v>
      </c>
      <c r="J94" s="9">
        <v>0.59199999999999997</v>
      </c>
      <c r="K94" s="19">
        <v>1.82E-3</v>
      </c>
      <c r="L94" s="18">
        <f t="shared" si="3"/>
        <v>199.34236000000001</v>
      </c>
      <c r="M94" s="116"/>
      <c r="N94" s="117"/>
      <c r="O94" s="114"/>
      <c r="P94" s="118"/>
      <c r="Q94" s="119"/>
      <c r="R94" s="120"/>
      <c r="S94" s="121"/>
      <c r="T94" s="124"/>
      <c r="U94" s="202" t="s">
        <v>245</v>
      </c>
      <c r="V94" s="56"/>
      <c r="X94" s="8"/>
    </row>
    <row r="95" spans="2:24" x14ac:dyDescent="0.2">
      <c r="B95" s="59"/>
      <c r="C95" s="58" t="s">
        <v>216</v>
      </c>
      <c r="D95" s="105"/>
      <c r="E95" s="106"/>
      <c r="F95" s="108"/>
      <c r="G95" s="109"/>
      <c r="H95" s="107"/>
      <c r="I95" s="10">
        <v>140</v>
      </c>
      <c r="J95" s="9">
        <v>3.39E-2</v>
      </c>
      <c r="K95" s="19">
        <v>4.3699999999999998E-3</v>
      </c>
      <c r="L95" s="13">
        <f t="shared" si="3"/>
        <v>142.14975999999999</v>
      </c>
      <c r="M95" s="116"/>
      <c r="N95" s="117"/>
      <c r="O95" s="114"/>
      <c r="P95" s="118"/>
      <c r="Q95" s="119"/>
      <c r="R95" s="120"/>
      <c r="S95" s="121"/>
      <c r="T95" s="124"/>
      <c r="U95" s="202" t="s">
        <v>245</v>
      </c>
      <c r="V95" s="56"/>
      <c r="X95" s="8"/>
    </row>
    <row r="96" spans="2:24" x14ac:dyDescent="0.2">
      <c r="B96" s="59"/>
      <c r="C96" s="58" t="s">
        <v>71</v>
      </c>
      <c r="D96" s="105"/>
      <c r="E96" s="106"/>
      <c r="F96" s="108"/>
      <c r="G96" s="109"/>
      <c r="H96" s="107"/>
      <c r="I96" s="10">
        <v>2.57</v>
      </c>
      <c r="J96" s="9">
        <v>3.65E-3</v>
      </c>
      <c r="K96" s="19">
        <v>1.83E-4</v>
      </c>
      <c r="L96" s="13">
        <f t="shared" si="3"/>
        <v>2.7157839999999998</v>
      </c>
      <c r="M96" s="116"/>
      <c r="N96" s="117"/>
      <c r="O96" s="114"/>
      <c r="P96" s="118"/>
      <c r="Q96" s="119"/>
      <c r="R96" s="120"/>
      <c r="S96" s="121"/>
      <c r="T96" s="124"/>
      <c r="U96" s="202" t="s">
        <v>245</v>
      </c>
      <c r="V96" s="56"/>
      <c r="X96" s="8"/>
    </row>
    <row r="97" spans="2:24" x14ac:dyDescent="0.2">
      <c r="B97" s="59"/>
      <c r="C97" s="58" t="s">
        <v>78</v>
      </c>
      <c r="D97" s="105"/>
      <c r="E97" s="106"/>
      <c r="F97" s="108"/>
      <c r="G97" s="109"/>
      <c r="H97" s="107"/>
      <c r="I97" s="10">
        <v>159</v>
      </c>
      <c r="J97" s="9">
        <v>0.47599999999999998</v>
      </c>
      <c r="K97" s="19">
        <v>2.82E-3</v>
      </c>
      <c r="L97" s="13">
        <f t="shared" si="3"/>
        <v>171.74036000000001</v>
      </c>
      <c r="M97" s="116"/>
      <c r="N97" s="117"/>
      <c r="O97" s="114"/>
      <c r="P97" s="118"/>
      <c r="Q97" s="119"/>
      <c r="R97" s="120"/>
      <c r="S97" s="121"/>
      <c r="T97" s="124"/>
      <c r="U97" s="202" t="s">
        <v>245</v>
      </c>
      <c r="V97" s="56"/>
      <c r="X97" s="8"/>
    </row>
    <row r="98" spans="2:24" x14ac:dyDescent="0.2">
      <c r="B98" s="59"/>
      <c r="C98" s="58" t="s">
        <v>217</v>
      </c>
      <c r="D98" s="105"/>
      <c r="E98" s="106"/>
      <c r="F98" s="108"/>
      <c r="G98" s="109"/>
      <c r="H98" s="107"/>
      <c r="I98" s="10">
        <v>271</v>
      </c>
      <c r="J98" s="9">
        <v>7.0699999999999999E-2</v>
      </c>
      <c r="K98" s="19">
        <v>8.3499999999999998E-3</v>
      </c>
      <c r="L98" s="13">
        <f t="shared" si="3"/>
        <v>275.25579999999997</v>
      </c>
      <c r="M98" s="116"/>
      <c r="N98" s="117"/>
      <c r="O98" s="114"/>
      <c r="P98" s="118"/>
      <c r="Q98" s="119"/>
      <c r="R98" s="120"/>
      <c r="S98" s="121"/>
      <c r="T98" s="124"/>
      <c r="U98" s="202" t="s">
        <v>245</v>
      </c>
      <c r="V98" s="56"/>
      <c r="X98" s="8"/>
    </row>
    <row r="99" spans="2:24" x14ac:dyDescent="0.2">
      <c r="B99" s="59"/>
      <c r="C99" s="58" t="s">
        <v>66</v>
      </c>
      <c r="D99" s="105"/>
      <c r="E99" s="106"/>
      <c r="F99" s="108"/>
      <c r="G99" s="109"/>
      <c r="H99" s="107"/>
      <c r="I99" s="10">
        <v>2.3199999999999998</v>
      </c>
      <c r="J99" s="9">
        <v>2.8600000000000001E-3</v>
      </c>
      <c r="K99" s="19">
        <v>4.9899999999999999E-4</v>
      </c>
      <c r="L99" s="13">
        <f t="shared" si="3"/>
        <v>2.5402019999999998</v>
      </c>
      <c r="M99" s="116"/>
      <c r="N99" s="117"/>
      <c r="O99" s="114"/>
      <c r="P99" s="118"/>
      <c r="Q99" s="119"/>
      <c r="R99" s="120"/>
      <c r="S99" s="121"/>
      <c r="T99" s="124"/>
      <c r="U99" s="202" t="s">
        <v>245</v>
      </c>
      <c r="V99" s="56"/>
      <c r="X99" s="8"/>
    </row>
    <row r="100" spans="2:24" x14ac:dyDescent="0.2">
      <c r="B100" s="59"/>
      <c r="C100" s="58" t="s">
        <v>79</v>
      </c>
      <c r="D100" s="105"/>
      <c r="E100" s="106"/>
      <c r="F100" s="108"/>
      <c r="G100" s="109"/>
      <c r="H100" s="107"/>
      <c r="I100" s="10">
        <v>159</v>
      </c>
      <c r="J100" s="9">
        <v>0.27600000000000002</v>
      </c>
      <c r="K100" s="19">
        <v>4.28E-3</v>
      </c>
      <c r="L100" s="13">
        <f t="shared" si="3"/>
        <v>167.17544000000001</v>
      </c>
      <c r="M100" s="116"/>
      <c r="N100" s="117"/>
      <c r="O100" s="114"/>
      <c r="P100" s="118"/>
      <c r="Q100" s="119"/>
      <c r="R100" s="120"/>
      <c r="S100" s="121"/>
      <c r="T100" s="124"/>
      <c r="U100" s="202" t="s">
        <v>245</v>
      </c>
      <c r="V100" s="56"/>
      <c r="X100" s="8"/>
    </row>
    <row r="101" spans="2:24" s="8" customFormat="1" x14ac:dyDescent="0.2">
      <c r="B101" s="59"/>
      <c r="C101" s="58" t="s">
        <v>80</v>
      </c>
      <c r="D101" s="105"/>
      <c r="E101" s="106"/>
      <c r="F101" s="108"/>
      <c r="G101" s="109"/>
      <c r="H101" s="107"/>
      <c r="I101" s="10">
        <v>159</v>
      </c>
      <c r="J101" s="9">
        <v>0.24</v>
      </c>
      <c r="K101" s="19">
        <v>7.4000000000000003E-3</v>
      </c>
      <c r="L101" s="13">
        <f t="shared" si="3"/>
        <v>167.20519999999999</v>
      </c>
      <c r="M101" s="116"/>
      <c r="N101" s="117"/>
      <c r="O101" s="114"/>
      <c r="P101" s="118"/>
      <c r="Q101" s="119"/>
      <c r="R101" s="120"/>
      <c r="S101" s="121"/>
      <c r="T101" s="124"/>
      <c r="U101" s="202" t="s">
        <v>245</v>
      </c>
      <c r="V101" s="56"/>
    </row>
    <row r="102" spans="2:24" s="8" customFormat="1" x14ac:dyDescent="0.2">
      <c r="B102" s="59"/>
      <c r="C102" s="58"/>
      <c r="D102" s="143"/>
      <c r="E102" s="42"/>
      <c r="F102" s="43"/>
      <c r="G102" s="44"/>
      <c r="H102" s="45"/>
      <c r="I102" s="49"/>
      <c r="J102" s="43"/>
      <c r="K102" s="60"/>
      <c r="L102" s="45"/>
      <c r="M102" s="46"/>
      <c r="N102" s="48"/>
      <c r="O102" s="49"/>
      <c r="P102" s="50"/>
      <c r="Q102" s="51"/>
      <c r="R102" s="52"/>
      <c r="S102" s="53"/>
      <c r="T102" s="54"/>
      <c r="U102" s="184"/>
      <c r="V102" s="56"/>
    </row>
    <row r="103" spans="2:24" s="8" customFormat="1" x14ac:dyDescent="0.2">
      <c r="B103" s="59" t="s">
        <v>182</v>
      </c>
      <c r="C103" s="58"/>
      <c r="D103" s="143"/>
      <c r="E103" s="42"/>
      <c r="F103" s="43"/>
      <c r="G103" s="44"/>
      <c r="H103" s="45"/>
      <c r="I103" s="49"/>
      <c r="J103" s="43"/>
      <c r="K103" s="60"/>
      <c r="L103" s="45"/>
      <c r="M103" s="46"/>
      <c r="N103" s="48"/>
      <c r="O103" s="49"/>
      <c r="P103" s="50"/>
      <c r="Q103" s="51"/>
      <c r="R103" s="52"/>
      <c r="S103" s="53"/>
      <c r="T103" s="54"/>
      <c r="U103" s="184"/>
      <c r="V103" s="56"/>
    </row>
    <row r="104" spans="2:24" x14ac:dyDescent="0.2">
      <c r="B104" s="59"/>
      <c r="C104" s="58" t="s">
        <v>81</v>
      </c>
      <c r="D104" s="105"/>
      <c r="E104" s="106"/>
      <c r="F104" s="108"/>
      <c r="G104" s="109"/>
      <c r="H104" s="107"/>
      <c r="I104" s="10">
        <v>187</v>
      </c>
      <c r="J104" s="9">
        <v>0.22</v>
      </c>
      <c r="K104" s="19">
        <v>1.83E-3</v>
      </c>
      <c r="L104" s="13">
        <f t="shared" ref="L104:L132" si="4">+I104+J104*$D$10+K104*$D$11</f>
        <v>193.04534000000001</v>
      </c>
      <c r="M104" s="116"/>
      <c r="N104" s="117"/>
      <c r="O104" s="114"/>
      <c r="P104" s="118"/>
      <c r="Q104" s="119"/>
      <c r="R104" s="120"/>
      <c r="S104" s="121"/>
      <c r="T104" s="124"/>
      <c r="U104" s="202" t="s">
        <v>245</v>
      </c>
      <c r="V104" s="56"/>
      <c r="X104" s="8"/>
    </row>
    <row r="105" spans="2:24" x14ac:dyDescent="0.2">
      <c r="B105" s="59"/>
      <c r="C105" s="58" t="s">
        <v>89</v>
      </c>
      <c r="D105" s="105"/>
      <c r="E105" s="106"/>
      <c r="F105" s="108"/>
      <c r="G105" s="109"/>
      <c r="H105" s="107"/>
      <c r="I105" s="10">
        <v>139</v>
      </c>
      <c r="J105" s="9">
        <v>0.112</v>
      </c>
      <c r="K105" s="19">
        <v>2.48E-3</v>
      </c>
      <c r="L105" s="13">
        <f t="shared" si="4"/>
        <v>142.53904</v>
      </c>
      <c r="M105" s="116"/>
      <c r="N105" s="117"/>
      <c r="O105" s="114"/>
      <c r="P105" s="118"/>
      <c r="Q105" s="119"/>
      <c r="R105" s="120"/>
      <c r="S105" s="121"/>
      <c r="T105" s="124"/>
      <c r="U105" s="202" t="s">
        <v>245</v>
      </c>
      <c r="V105" s="56"/>
      <c r="X105" s="8"/>
    </row>
    <row r="106" spans="2:24" x14ac:dyDescent="0.2">
      <c r="B106" s="59"/>
      <c r="C106" s="58" t="s">
        <v>95</v>
      </c>
      <c r="D106" s="105"/>
      <c r="E106" s="106"/>
      <c r="F106" s="108"/>
      <c r="G106" s="109"/>
      <c r="H106" s="107"/>
      <c r="I106" s="10">
        <v>265</v>
      </c>
      <c r="J106" s="9">
        <v>0.21099999999999999</v>
      </c>
      <c r="K106" s="19">
        <v>5.3200000000000001E-3</v>
      </c>
      <c r="L106" s="13">
        <f t="shared" si="4"/>
        <v>271.86035999999996</v>
      </c>
      <c r="M106" s="116"/>
      <c r="N106" s="117"/>
      <c r="O106" s="114"/>
      <c r="P106" s="118"/>
      <c r="Q106" s="119"/>
      <c r="R106" s="120"/>
      <c r="S106" s="121"/>
      <c r="T106" s="124"/>
      <c r="U106" s="202" t="s">
        <v>245</v>
      </c>
      <c r="V106" s="56"/>
      <c r="X106" s="8"/>
    </row>
    <row r="107" spans="2:24" x14ac:dyDescent="0.2">
      <c r="B107" s="59"/>
      <c r="C107" s="58" t="s">
        <v>90</v>
      </c>
      <c r="D107" s="105"/>
      <c r="E107" s="106"/>
      <c r="F107" s="108"/>
      <c r="G107" s="109"/>
      <c r="H107" s="107"/>
      <c r="I107" s="10">
        <v>339</v>
      </c>
      <c r="J107" s="9">
        <v>1.17</v>
      </c>
      <c r="K107" s="19">
        <v>1.44E-2</v>
      </c>
      <c r="L107" s="13">
        <f t="shared" si="4"/>
        <v>372.5412</v>
      </c>
      <c r="M107" s="116"/>
      <c r="N107" s="117"/>
      <c r="O107" s="114"/>
      <c r="P107" s="118"/>
      <c r="Q107" s="119"/>
      <c r="R107" s="120"/>
      <c r="S107" s="121"/>
      <c r="T107" s="124"/>
      <c r="U107" s="202" t="s">
        <v>245</v>
      </c>
      <c r="V107" s="56"/>
      <c r="X107" s="8"/>
    </row>
    <row r="108" spans="2:24" x14ac:dyDescent="0.2">
      <c r="B108" s="59"/>
      <c r="C108" s="58" t="s">
        <v>101</v>
      </c>
      <c r="D108" s="105"/>
      <c r="E108" s="106"/>
      <c r="F108" s="108"/>
      <c r="G108" s="109"/>
      <c r="H108" s="107"/>
      <c r="I108" s="10">
        <v>72.3</v>
      </c>
      <c r="J108" s="9">
        <v>6.4000000000000001E-2</v>
      </c>
      <c r="K108" s="19">
        <v>1.64E-3</v>
      </c>
      <c r="L108" s="13">
        <f t="shared" si="4"/>
        <v>74.388719999999992</v>
      </c>
      <c r="M108" s="116"/>
      <c r="N108" s="117"/>
      <c r="O108" s="114"/>
      <c r="P108" s="118"/>
      <c r="Q108" s="119"/>
      <c r="R108" s="120"/>
      <c r="S108" s="121"/>
      <c r="T108" s="124"/>
      <c r="U108" s="202" t="s">
        <v>245</v>
      </c>
      <c r="V108" s="56"/>
      <c r="X108" s="8"/>
    </row>
    <row r="109" spans="2:24" x14ac:dyDescent="0.2">
      <c r="B109" s="59"/>
      <c r="C109" s="58" t="s">
        <v>162</v>
      </c>
      <c r="D109" s="105"/>
      <c r="E109" s="106"/>
      <c r="F109" s="108"/>
      <c r="G109" s="109"/>
      <c r="H109" s="107"/>
      <c r="I109" s="17">
        <v>75.2</v>
      </c>
      <c r="J109" s="9">
        <v>9.1899999999999996E-2</v>
      </c>
      <c r="K109" s="19">
        <v>7.3499999999999998E-4</v>
      </c>
      <c r="L109" s="18">
        <f t="shared" si="4"/>
        <v>77.716530000000006</v>
      </c>
      <c r="M109" s="116"/>
      <c r="N109" s="117"/>
      <c r="O109" s="114"/>
      <c r="P109" s="118"/>
      <c r="Q109" s="119"/>
      <c r="R109" s="120"/>
      <c r="S109" s="121"/>
      <c r="T109" s="124"/>
      <c r="U109" s="202" t="s">
        <v>245</v>
      </c>
      <c r="V109" s="56"/>
      <c r="X109" s="8"/>
    </row>
    <row r="110" spans="2:24" x14ac:dyDescent="0.2">
      <c r="B110" s="59"/>
      <c r="C110" s="58" t="s">
        <v>163</v>
      </c>
      <c r="D110" s="105"/>
      <c r="E110" s="106"/>
      <c r="F110" s="108"/>
      <c r="G110" s="109"/>
      <c r="H110" s="107"/>
      <c r="I110" s="10">
        <v>164</v>
      </c>
      <c r="J110" s="9">
        <v>0.193</v>
      </c>
      <c r="K110" s="19">
        <v>2.5699999999999998E-3</v>
      </c>
      <c r="L110" s="13">
        <f t="shared" si="4"/>
        <v>169.59085999999999</v>
      </c>
      <c r="M110" s="116"/>
      <c r="N110" s="117"/>
      <c r="O110" s="114"/>
      <c r="P110" s="118"/>
      <c r="Q110" s="119"/>
      <c r="R110" s="120"/>
      <c r="S110" s="121"/>
      <c r="T110" s="124"/>
      <c r="U110" s="202" t="s">
        <v>245</v>
      </c>
      <c r="V110" s="56"/>
      <c r="X110" s="8"/>
    </row>
    <row r="111" spans="2:24" x14ac:dyDescent="0.2">
      <c r="B111" s="59"/>
      <c r="C111" s="58" t="s">
        <v>82</v>
      </c>
      <c r="D111" s="105"/>
      <c r="E111" s="106"/>
      <c r="F111" s="108"/>
      <c r="G111" s="109"/>
      <c r="H111" s="107"/>
      <c r="I111" s="10">
        <v>1.3</v>
      </c>
      <c r="J111" s="9">
        <v>2.5600000000000002E-3</v>
      </c>
      <c r="K111" s="19">
        <v>1.07E-4</v>
      </c>
      <c r="L111" s="13">
        <f t="shared" si="4"/>
        <v>1.3958860000000002</v>
      </c>
      <c r="M111" s="116"/>
      <c r="N111" s="117"/>
      <c r="O111" s="114"/>
      <c r="P111" s="118"/>
      <c r="Q111" s="119"/>
      <c r="R111" s="120"/>
      <c r="S111" s="121"/>
      <c r="T111" s="124"/>
      <c r="U111" s="202" t="s">
        <v>245</v>
      </c>
      <c r="V111" s="56"/>
      <c r="X111" s="8"/>
    </row>
    <row r="112" spans="2:24" x14ac:dyDescent="0.2">
      <c r="B112" s="59"/>
      <c r="C112" s="58" t="s">
        <v>85</v>
      </c>
      <c r="D112" s="105"/>
      <c r="E112" s="106"/>
      <c r="F112" s="108"/>
      <c r="G112" s="109"/>
      <c r="H112" s="107"/>
      <c r="I112" s="10">
        <v>151</v>
      </c>
      <c r="J112" s="9">
        <v>0.16600000000000001</v>
      </c>
      <c r="K112" s="19">
        <v>1.7099999999999999E-3</v>
      </c>
      <c r="L112" s="13">
        <f t="shared" si="4"/>
        <v>155.65958000000001</v>
      </c>
      <c r="M112" s="116"/>
      <c r="N112" s="117"/>
      <c r="O112" s="114"/>
      <c r="P112" s="118"/>
      <c r="Q112" s="119"/>
      <c r="R112" s="120"/>
      <c r="S112" s="121"/>
      <c r="T112" s="124"/>
      <c r="U112" s="202" t="s">
        <v>245</v>
      </c>
      <c r="V112" s="56"/>
      <c r="X112" s="8"/>
    </row>
    <row r="113" spans="2:24" x14ac:dyDescent="0.2">
      <c r="B113" s="59"/>
      <c r="C113" s="58" t="s">
        <v>86</v>
      </c>
      <c r="D113" s="105"/>
      <c r="E113" s="106"/>
      <c r="F113" s="108"/>
      <c r="G113" s="109"/>
      <c r="H113" s="107"/>
      <c r="I113" s="10">
        <v>305</v>
      </c>
      <c r="J113" s="9">
        <v>0.24299999999999999</v>
      </c>
      <c r="K113" s="19">
        <v>5.2900000000000004E-3</v>
      </c>
      <c r="L113" s="13">
        <f t="shared" si="4"/>
        <v>312.65141999999997</v>
      </c>
      <c r="M113" s="116"/>
      <c r="N113" s="117"/>
      <c r="O113" s="114"/>
      <c r="P113" s="118"/>
      <c r="Q113" s="119"/>
      <c r="R113" s="120"/>
      <c r="S113" s="121"/>
      <c r="T113" s="124"/>
      <c r="U113" s="202" t="s">
        <v>245</v>
      </c>
      <c r="V113" s="56"/>
      <c r="X113" s="8"/>
    </row>
    <row r="114" spans="2:24" x14ac:dyDescent="0.2">
      <c r="B114" s="59"/>
      <c r="C114" s="58" t="s">
        <v>218</v>
      </c>
      <c r="D114" s="105"/>
      <c r="E114" s="106"/>
      <c r="F114" s="108"/>
      <c r="G114" s="109"/>
      <c r="H114" s="107"/>
      <c r="I114" s="10">
        <v>2.69</v>
      </c>
      <c r="J114" s="9">
        <v>3.3700000000000002E-3</v>
      </c>
      <c r="K114" s="19">
        <v>1.37E-4</v>
      </c>
      <c r="L114" s="13">
        <f t="shared" si="4"/>
        <v>2.8150759999999999</v>
      </c>
      <c r="M114" s="116"/>
      <c r="N114" s="117"/>
      <c r="O114" s="114"/>
      <c r="P114" s="118"/>
      <c r="Q114" s="119"/>
      <c r="R114" s="120"/>
      <c r="S114" s="121"/>
      <c r="T114" s="124"/>
      <c r="U114" s="202" t="s">
        <v>245</v>
      </c>
      <c r="V114" s="56"/>
      <c r="X114" s="8"/>
    </row>
    <row r="115" spans="2:24" x14ac:dyDescent="0.2">
      <c r="B115" s="59"/>
      <c r="C115" s="58" t="s">
        <v>96</v>
      </c>
      <c r="D115" s="105"/>
      <c r="E115" s="106"/>
      <c r="F115" s="108"/>
      <c r="G115" s="109"/>
      <c r="H115" s="107"/>
      <c r="I115" s="10">
        <v>147</v>
      </c>
      <c r="J115" s="9">
        <v>0.16200000000000001</v>
      </c>
      <c r="K115" s="19">
        <v>2.1800000000000001E-3</v>
      </c>
      <c r="L115" s="13">
        <f t="shared" si="4"/>
        <v>151.69964000000002</v>
      </c>
      <c r="M115" s="116"/>
      <c r="N115" s="117"/>
      <c r="O115" s="114"/>
      <c r="P115" s="118"/>
      <c r="Q115" s="119"/>
      <c r="R115" s="120"/>
      <c r="S115" s="121"/>
      <c r="T115" s="124"/>
      <c r="U115" s="202" t="s">
        <v>245</v>
      </c>
      <c r="V115" s="56"/>
      <c r="X115" s="8"/>
    </row>
    <row r="116" spans="2:24" x14ac:dyDescent="0.2">
      <c r="B116" s="59"/>
      <c r="C116" s="58" t="s">
        <v>97</v>
      </c>
      <c r="D116" s="105"/>
      <c r="E116" s="106"/>
      <c r="F116" s="108"/>
      <c r="G116" s="109"/>
      <c r="H116" s="107"/>
      <c r="I116" s="10">
        <v>87.2</v>
      </c>
      <c r="J116" s="9">
        <v>7.9899999999999999E-2</v>
      </c>
      <c r="K116" s="19">
        <v>1.39E-3</v>
      </c>
      <c r="L116" s="13">
        <f t="shared" si="4"/>
        <v>89.611720000000005</v>
      </c>
      <c r="M116" s="116"/>
      <c r="N116" s="117"/>
      <c r="O116" s="114"/>
      <c r="P116" s="118"/>
      <c r="Q116" s="119"/>
      <c r="R116" s="120"/>
      <c r="S116" s="121"/>
      <c r="T116" s="124"/>
      <c r="U116" s="202" t="s">
        <v>245</v>
      </c>
      <c r="V116" s="56"/>
      <c r="X116" s="8"/>
    </row>
    <row r="117" spans="2:24" x14ac:dyDescent="0.2">
      <c r="B117" s="59"/>
      <c r="C117" s="58" t="s">
        <v>87</v>
      </c>
      <c r="D117" s="105"/>
      <c r="E117" s="106"/>
      <c r="F117" s="108"/>
      <c r="G117" s="109"/>
      <c r="H117" s="107"/>
      <c r="I117" s="10">
        <v>78.3</v>
      </c>
      <c r="J117" s="9">
        <v>6.3200000000000006E-2</v>
      </c>
      <c r="K117" s="19">
        <v>3.49E-3</v>
      </c>
      <c r="L117" s="13">
        <f t="shared" si="4"/>
        <v>80.920019999999994</v>
      </c>
      <c r="M117" s="116"/>
      <c r="N117" s="117"/>
      <c r="O117" s="114"/>
      <c r="P117" s="118"/>
      <c r="Q117" s="119"/>
      <c r="R117" s="120"/>
      <c r="S117" s="121"/>
      <c r="T117" s="124"/>
      <c r="U117" s="202" t="s">
        <v>245</v>
      </c>
      <c r="V117" s="56"/>
      <c r="X117" s="8"/>
    </row>
    <row r="118" spans="2:24" x14ac:dyDescent="0.2">
      <c r="B118" s="59"/>
      <c r="C118" s="58" t="s">
        <v>83</v>
      </c>
      <c r="D118" s="105"/>
      <c r="E118" s="106"/>
      <c r="F118" s="108"/>
      <c r="G118" s="109"/>
      <c r="H118" s="107"/>
      <c r="I118" s="10">
        <v>248</v>
      </c>
      <c r="J118" s="9">
        <v>0.251</v>
      </c>
      <c r="K118" s="19">
        <v>3.2200000000000002E-3</v>
      </c>
      <c r="L118" s="13">
        <f t="shared" si="4"/>
        <v>255.23456000000002</v>
      </c>
      <c r="M118" s="116"/>
      <c r="N118" s="117"/>
      <c r="O118" s="114"/>
      <c r="P118" s="118"/>
      <c r="Q118" s="119"/>
      <c r="R118" s="120"/>
      <c r="S118" s="121"/>
      <c r="T118" s="124"/>
      <c r="U118" s="202" t="s">
        <v>245</v>
      </c>
      <c r="V118" s="56"/>
      <c r="X118" s="8"/>
    </row>
    <row r="119" spans="2:24" x14ac:dyDescent="0.2">
      <c r="B119" s="59"/>
      <c r="C119" s="58" t="s">
        <v>219</v>
      </c>
      <c r="D119" s="105"/>
      <c r="E119" s="106"/>
      <c r="F119" s="108"/>
      <c r="G119" s="109"/>
      <c r="H119" s="107"/>
      <c r="I119" s="10">
        <v>276</v>
      </c>
      <c r="J119" s="9">
        <v>0.30299999999999999</v>
      </c>
      <c r="K119" s="19">
        <v>1.6E-2</v>
      </c>
      <c r="L119" s="13">
        <f t="shared" si="4"/>
        <v>288.34299999999996</v>
      </c>
      <c r="M119" s="116"/>
      <c r="N119" s="117"/>
      <c r="O119" s="114"/>
      <c r="P119" s="118"/>
      <c r="Q119" s="119"/>
      <c r="R119" s="120"/>
      <c r="S119" s="121"/>
      <c r="T119" s="124"/>
      <c r="U119" s="202" t="s">
        <v>245</v>
      </c>
      <c r="V119" s="56"/>
      <c r="X119" s="8"/>
    </row>
    <row r="120" spans="2:24" x14ac:dyDescent="0.2">
      <c r="B120" s="59"/>
      <c r="C120" s="58" t="s">
        <v>174</v>
      </c>
      <c r="D120" s="105"/>
      <c r="E120" s="106"/>
      <c r="F120" s="108"/>
      <c r="G120" s="109"/>
      <c r="H120" s="107"/>
      <c r="I120" s="17">
        <v>224</v>
      </c>
      <c r="J120" s="9">
        <v>0.75</v>
      </c>
      <c r="K120" s="19">
        <v>6.8500000000000002E-3</v>
      </c>
      <c r="L120" s="18">
        <f t="shared" si="4"/>
        <v>244.79130000000001</v>
      </c>
      <c r="M120" s="116"/>
      <c r="N120" s="117"/>
      <c r="O120" s="114"/>
      <c r="P120" s="118"/>
      <c r="Q120" s="119"/>
      <c r="R120" s="120"/>
      <c r="S120" s="121"/>
      <c r="T120" s="124"/>
      <c r="U120" s="202" t="s">
        <v>245</v>
      </c>
      <c r="V120" s="56"/>
      <c r="X120" s="8"/>
    </row>
    <row r="121" spans="2:24" x14ac:dyDescent="0.2">
      <c r="B121" s="59"/>
      <c r="C121" s="58" t="s">
        <v>91</v>
      </c>
      <c r="D121" s="105"/>
      <c r="E121" s="106"/>
      <c r="F121" s="108"/>
      <c r="G121" s="109"/>
      <c r="H121" s="107"/>
      <c r="I121" s="10">
        <v>0.71299999999999997</v>
      </c>
      <c r="J121" s="9">
        <v>1.9599999999999999E-3</v>
      </c>
      <c r="K121" s="19">
        <v>1E-4</v>
      </c>
      <c r="L121" s="13">
        <f t="shared" si="4"/>
        <v>0.79180000000000006</v>
      </c>
      <c r="M121" s="116"/>
      <c r="N121" s="117"/>
      <c r="O121" s="114"/>
      <c r="P121" s="118"/>
      <c r="Q121" s="119"/>
      <c r="R121" s="120"/>
      <c r="S121" s="121"/>
      <c r="T121" s="124"/>
      <c r="U121" s="202" t="s">
        <v>245</v>
      </c>
      <c r="V121" s="56"/>
      <c r="X121" s="8"/>
    </row>
    <row r="122" spans="2:24" x14ac:dyDescent="0.2">
      <c r="B122" s="59"/>
      <c r="C122" s="58" t="s">
        <v>92</v>
      </c>
      <c r="D122" s="105"/>
      <c r="E122" s="106"/>
      <c r="F122" s="108"/>
      <c r="G122" s="109"/>
      <c r="H122" s="107"/>
      <c r="I122" s="10">
        <v>8.2799999999999994</v>
      </c>
      <c r="J122" s="9">
        <v>1.11E-2</v>
      </c>
      <c r="K122" s="19">
        <v>3.2200000000000002E-4</v>
      </c>
      <c r="L122" s="13">
        <f t="shared" si="4"/>
        <v>8.6534559999999985</v>
      </c>
      <c r="M122" s="116"/>
      <c r="N122" s="117"/>
      <c r="O122" s="114"/>
      <c r="P122" s="118"/>
      <c r="Q122" s="119"/>
      <c r="R122" s="120"/>
      <c r="S122" s="121"/>
      <c r="T122" s="124"/>
      <c r="U122" s="202" t="s">
        <v>245</v>
      </c>
      <c r="V122" s="56"/>
      <c r="X122" s="8"/>
    </row>
    <row r="123" spans="2:24" x14ac:dyDescent="0.2">
      <c r="B123" s="59"/>
      <c r="C123" s="58" t="s">
        <v>98</v>
      </c>
      <c r="D123" s="105"/>
      <c r="E123" s="106"/>
      <c r="F123" s="108"/>
      <c r="G123" s="109"/>
      <c r="H123" s="107"/>
      <c r="I123" s="10">
        <v>134</v>
      </c>
      <c r="J123" s="9">
        <v>0.16600000000000001</v>
      </c>
      <c r="K123" s="19">
        <v>1.1900000000000001E-3</v>
      </c>
      <c r="L123" s="13">
        <f t="shared" si="4"/>
        <v>138.50462000000002</v>
      </c>
      <c r="M123" s="116"/>
      <c r="N123" s="117"/>
      <c r="O123" s="114"/>
      <c r="P123" s="118"/>
      <c r="Q123" s="119"/>
      <c r="R123" s="120"/>
      <c r="S123" s="121"/>
      <c r="T123" s="124"/>
      <c r="U123" s="202" t="s">
        <v>245</v>
      </c>
      <c r="V123" s="56"/>
      <c r="X123" s="8"/>
    </row>
    <row r="124" spans="2:24" x14ac:dyDescent="0.2">
      <c r="B124" s="59"/>
      <c r="C124" s="58" t="s">
        <v>99</v>
      </c>
      <c r="D124" s="105"/>
      <c r="E124" s="106"/>
      <c r="F124" s="108"/>
      <c r="G124" s="109"/>
      <c r="H124" s="107"/>
      <c r="I124" s="10">
        <v>221</v>
      </c>
      <c r="J124" s="9">
        <v>0.17799999999999999</v>
      </c>
      <c r="K124" s="19">
        <v>5.3699999999999998E-3</v>
      </c>
      <c r="L124" s="13">
        <f t="shared" si="4"/>
        <v>227.05025999999998</v>
      </c>
      <c r="M124" s="116"/>
      <c r="N124" s="117"/>
      <c r="O124" s="114"/>
      <c r="P124" s="118"/>
      <c r="Q124" s="119"/>
      <c r="R124" s="120"/>
      <c r="S124" s="121"/>
      <c r="T124" s="124"/>
      <c r="U124" s="202" t="s">
        <v>245</v>
      </c>
      <c r="V124" s="56"/>
      <c r="X124" s="8"/>
    </row>
    <row r="125" spans="2:24" x14ac:dyDescent="0.2">
      <c r="B125" s="59"/>
      <c r="C125" s="58" t="s">
        <v>93</v>
      </c>
      <c r="D125" s="105"/>
      <c r="E125" s="106"/>
      <c r="F125" s="108"/>
      <c r="G125" s="109"/>
      <c r="H125" s="107"/>
      <c r="I125" s="10">
        <v>315</v>
      </c>
      <c r="J125" s="9">
        <v>0.747</v>
      </c>
      <c r="K125" s="19">
        <v>1.46E-2</v>
      </c>
      <c r="L125" s="13">
        <f t="shared" si="4"/>
        <v>338.0258</v>
      </c>
      <c r="M125" s="116"/>
      <c r="N125" s="117"/>
      <c r="O125" s="114"/>
      <c r="P125" s="118"/>
      <c r="Q125" s="119"/>
      <c r="R125" s="120"/>
      <c r="S125" s="121"/>
      <c r="T125" s="124"/>
      <c r="U125" s="202" t="s">
        <v>245</v>
      </c>
      <c r="V125" s="56"/>
      <c r="X125" s="8"/>
    </row>
    <row r="126" spans="2:24" x14ac:dyDescent="0.2">
      <c r="B126" s="59"/>
      <c r="C126" s="58" t="s">
        <v>84</v>
      </c>
      <c r="D126" s="105"/>
      <c r="E126" s="106"/>
      <c r="F126" s="108"/>
      <c r="G126" s="109"/>
      <c r="H126" s="107"/>
      <c r="I126" s="10">
        <v>69.3</v>
      </c>
      <c r="J126" s="9">
        <v>5.6099999999999997E-2</v>
      </c>
      <c r="K126" s="19">
        <v>1.2700000000000001E-3</v>
      </c>
      <c r="L126" s="13">
        <f t="shared" si="4"/>
        <v>71.080960000000005</v>
      </c>
      <c r="M126" s="116"/>
      <c r="N126" s="117"/>
      <c r="O126" s="114"/>
      <c r="P126" s="118"/>
      <c r="Q126" s="119"/>
      <c r="R126" s="120"/>
      <c r="S126" s="121"/>
      <c r="T126" s="124"/>
      <c r="U126" s="202" t="s">
        <v>245</v>
      </c>
      <c r="V126" s="56"/>
      <c r="X126" s="8"/>
    </row>
    <row r="127" spans="2:24" x14ac:dyDescent="0.2">
      <c r="B127" s="59"/>
      <c r="C127" s="58" t="s">
        <v>88</v>
      </c>
      <c r="D127" s="105"/>
      <c r="E127" s="106"/>
      <c r="F127" s="108"/>
      <c r="G127" s="109"/>
      <c r="H127" s="107"/>
      <c r="I127" s="10">
        <v>166</v>
      </c>
      <c r="J127" s="9">
        <v>0.17199999999999999</v>
      </c>
      <c r="K127" s="19">
        <v>2.3999999999999998E-3</v>
      </c>
      <c r="L127" s="13">
        <f t="shared" si="4"/>
        <v>171.01520000000002</v>
      </c>
      <c r="M127" s="116"/>
      <c r="N127" s="117"/>
      <c r="O127" s="114"/>
      <c r="P127" s="118"/>
      <c r="Q127" s="119"/>
      <c r="R127" s="120"/>
      <c r="S127" s="121"/>
      <c r="T127" s="124"/>
      <c r="U127" s="202" t="s">
        <v>245</v>
      </c>
      <c r="V127" s="56"/>
      <c r="X127" s="8"/>
    </row>
    <row r="128" spans="2:24" x14ac:dyDescent="0.2">
      <c r="B128" s="59"/>
      <c r="C128" s="58" t="s">
        <v>100</v>
      </c>
      <c r="D128" s="105"/>
      <c r="E128" s="106"/>
      <c r="F128" s="108"/>
      <c r="G128" s="109"/>
      <c r="H128" s="107"/>
      <c r="I128" s="10">
        <v>43</v>
      </c>
      <c r="J128" s="9">
        <v>3.5299999999999998E-2</v>
      </c>
      <c r="K128" s="19">
        <v>3.8800000000000002E-3</v>
      </c>
      <c r="L128" s="13">
        <f t="shared" si="4"/>
        <v>45.038739999999997</v>
      </c>
      <c r="M128" s="116"/>
      <c r="N128" s="117"/>
      <c r="O128" s="114"/>
      <c r="P128" s="118"/>
      <c r="Q128" s="119"/>
      <c r="R128" s="120"/>
      <c r="S128" s="121"/>
      <c r="T128" s="124"/>
      <c r="U128" s="202" t="s">
        <v>245</v>
      </c>
      <c r="V128" s="56"/>
      <c r="X128" s="8"/>
    </row>
    <row r="129" spans="1:24" x14ac:dyDescent="0.2">
      <c r="B129" s="59"/>
      <c r="C129" s="58" t="s">
        <v>220</v>
      </c>
      <c r="D129" s="105"/>
      <c r="E129" s="106"/>
      <c r="F129" s="108"/>
      <c r="G129" s="109"/>
      <c r="H129" s="107"/>
      <c r="I129" s="17">
        <v>157</v>
      </c>
      <c r="J129" s="9">
        <v>0.193</v>
      </c>
      <c r="K129" s="19">
        <v>1.3600000000000001E-3</v>
      </c>
      <c r="L129" s="18">
        <f>+I129+J129*$D$10+K129*$D$11</f>
        <v>162.23027999999999</v>
      </c>
      <c r="M129" s="116"/>
      <c r="N129" s="117"/>
      <c r="O129" s="114"/>
      <c r="P129" s="118"/>
      <c r="Q129" s="119"/>
      <c r="R129" s="120"/>
      <c r="S129" s="121"/>
      <c r="T129" s="124"/>
      <c r="U129" s="202" t="s">
        <v>245</v>
      </c>
      <c r="V129" s="56"/>
      <c r="X129" s="8"/>
    </row>
    <row r="130" spans="1:24" x14ac:dyDescent="0.2">
      <c r="B130" s="59"/>
      <c r="C130" s="58" t="s">
        <v>175</v>
      </c>
      <c r="D130" s="105"/>
      <c r="E130" s="106"/>
      <c r="F130" s="108"/>
      <c r="G130" s="109"/>
      <c r="H130" s="107"/>
      <c r="I130" s="10">
        <v>282</v>
      </c>
      <c r="J130" s="9">
        <v>0.255</v>
      </c>
      <c r="K130" s="19">
        <v>4.3099999999999996E-3</v>
      </c>
      <c r="L130" s="13">
        <f t="shared" si="4"/>
        <v>289.65938</v>
      </c>
      <c r="M130" s="116"/>
      <c r="N130" s="117"/>
      <c r="O130" s="114"/>
      <c r="P130" s="118"/>
      <c r="Q130" s="119"/>
      <c r="R130" s="120"/>
      <c r="S130" s="121"/>
      <c r="T130" s="124"/>
      <c r="U130" s="202" t="s">
        <v>245</v>
      </c>
      <c r="V130" s="56"/>
      <c r="X130" s="8"/>
    </row>
    <row r="131" spans="1:24" x14ac:dyDescent="0.2">
      <c r="B131" s="59"/>
      <c r="C131" s="58" t="s">
        <v>94</v>
      </c>
      <c r="D131" s="105"/>
      <c r="E131" s="106"/>
      <c r="F131" s="110"/>
      <c r="G131" s="111"/>
      <c r="H131" s="112"/>
      <c r="I131" s="30">
        <v>330</v>
      </c>
      <c r="J131" s="31">
        <v>0.29399999999999998</v>
      </c>
      <c r="K131" s="33">
        <v>5.1500000000000001E-3</v>
      </c>
      <c r="L131" s="32">
        <f t="shared" si="4"/>
        <v>338.88470000000001</v>
      </c>
      <c r="M131" s="116"/>
      <c r="N131" s="117"/>
      <c r="O131" s="114"/>
      <c r="P131" s="118"/>
      <c r="Q131" s="119"/>
      <c r="R131" s="120"/>
      <c r="S131" s="121"/>
      <c r="T131" s="124"/>
      <c r="U131" s="202" t="s">
        <v>245</v>
      </c>
      <c r="V131" s="56"/>
      <c r="X131" s="8"/>
    </row>
    <row r="132" spans="1:24" x14ac:dyDescent="0.2">
      <c r="B132" s="59"/>
      <c r="C132" s="92" t="s">
        <v>221</v>
      </c>
      <c r="D132" s="105"/>
      <c r="E132" s="106"/>
      <c r="F132" s="110"/>
      <c r="G132" s="111"/>
      <c r="H132" s="112"/>
      <c r="I132" s="30">
        <v>165</v>
      </c>
      <c r="J132" s="31">
        <v>0.20799999999999999</v>
      </c>
      <c r="K132" s="33">
        <v>6.94E-3</v>
      </c>
      <c r="L132" s="32">
        <f t="shared" si="4"/>
        <v>172.26811999999998</v>
      </c>
      <c r="M132" s="116"/>
      <c r="N132" s="117"/>
      <c r="O132" s="114"/>
      <c r="P132" s="118"/>
      <c r="Q132" s="119"/>
      <c r="R132" s="120"/>
      <c r="S132" s="121"/>
      <c r="T132" s="124"/>
      <c r="U132" s="202" t="s">
        <v>245</v>
      </c>
      <c r="V132" s="56"/>
      <c r="X132" s="8"/>
    </row>
    <row r="133" spans="1:24" s="8" customFormat="1" x14ac:dyDescent="0.2">
      <c r="B133" s="59"/>
      <c r="C133" s="92"/>
      <c r="D133" s="41"/>
      <c r="E133" s="42"/>
      <c r="F133" s="43"/>
      <c r="G133" s="44"/>
      <c r="H133" s="45"/>
      <c r="I133" s="49"/>
      <c r="J133" s="43"/>
      <c r="K133" s="60"/>
      <c r="L133" s="45"/>
      <c r="M133" s="46"/>
      <c r="N133" s="48"/>
      <c r="O133" s="49"/>
      <c r="P133" s="50"/>
      <c r="Q133" s="51"/>
      <c r="R133" s="52"/>
      <c r="S133" s="53"/>
      <c r="T133" s="54"/>
      <c r="U133" s="184"/>
      <c r="V133" s="56"/>
    </row>
    <row r="134" spans="1:24" s="8" customFormat="1" x14ac:dyDescent="0.2">
      <c r="A134" s="122"/>
      <c r="B134" s="59" t="s">
        <v>183</v>
      </c>
      <c r="C134" s="92"/>
      <c r="D134" s="145"/>
      <c r="E134" s="42"/>
      <c r="F134" s="43"/>
      <c r="G134" s="44"/>
      <c r="H134" s="45"/>
      <c r="I134" s="49"/>
      <c r="J134" s="43"/>
      <c r="K134" s="60"/>
      <c r="L134" s="45"/>
      <c r="M134" s="46"/>
      <c r="N134" s="48"/>
      <c r="O134" s="49"/>
      <c r="P134" s="50"/>
      <c r="Q134" s="144"/>
      <c r="R134" s="52"/>
      <c r="S134" s="53"/>
      <c r="T134" s="54"/>
      <c r="U134" s="184"/>
      <c r="V134" s="56"/>
    </row>
    <row r="135" spans="1:24" x14ac:dyDescent="0.2">
      <c r="B135" s="59"/>
      <c r="C135" s="58" t="s">
        <v>73</v>
      </c>
      <c r="D135" s="105"/>
      <c r="E135" s="106"/>
      <c r="F135" s="108"/>
      <c r="G135" s="109"/>
      <c r="H135" s="107"/>
      <c r="I135" s="10">
        <v>60.2</v>
      </c>
      <c r="J135" s="9">
        <v>0.19400000000000001</v>
      </c>
      <c r="K135" s="19">
        <v>6.3199999999999997E-4</v>
      </c>
      <c r="L135" s="13">
        <f t="shared" ref="L135:L178" si="5">+I135+J135*$D$10+K135*$D$11</f>
        <v>65.238336000000004</v>
      </c>
      <c r="M135" s="116"/>
      <c r="N135" s="117"/>
      <c r="O135" s="114"/>
      <c r="P135" s="118"/>
      <c r="Q135" s="119"/>
      <c r="R135" s="120"/>
      <c r="S135" s="121"/>
      <c r="T135" s="124"/>
      <c r="U135" s="202" t="s">
        <v>245</v>
      </c>
      <c r="V135" s="56"/>
      <c r="X135" s="8"/>
    </row>
    <row r="136" spans="1:24" x14ac:dyDescent="0.2">
      <c r="B136" s="59"/>
      <c r="C136" s="58" t="s">
        <v>74</v>
      </c>
      <c r="D136" s="105"/>
      <c r="E136" s="106"/>
      <c r="F136" s="108"/>
      <c r="G136" s="109"/>
      <c r="H136" s="107"/>
      <c r="I136" s="10">
        <v>170</v>
      </c>
      <c r="J136" s="9">
        <v>0.53800000000000003</v>
      </c>
      <c r="K136" s="19">
        <v>1.72E-3</v>
      </c>
      <c r="L136" s="13">
        <f t="shared" si="5"/>
        <v>183.96256</v>
      </c>
      <c r="M136" s="116"/>
      <c r="N136" s="117"/>
      <c r="O136" s="114"/>
      <c r="P136" s="118"/>
      <c r="Q136" s="119"/>
      <c r="R136" s="120"/>
      <c r="S136" s="121"/>
      <c r="T136" s="124"/>
      <c r="U136" s="202" t="s">
        <v>245</v>
      </c>
      <c r="V136" s="56"/>
      <c r="X136" s="8"/>
    </row>
    <row r="137" spans="1:24" x14ac:dyDescent="0.2">
      <c r="B137" s="59"/>
      <c r="C137" s="58" t="s">
        <v>119</v>
      </c>
      <c r="D137" s="105"/>
      <c r="E137" s="106"/>
      <c r="F137" s="108"/>
      <c r="G137" s="109"/>
      <c r="H137" s="107"/>
      <c r="I137" s="10">
        <v>255</v>
      </c>
      <c r="J137" s="9">
        <v>0.313</v>
      </c>
      <c r="K137" s="19">
        <v>2.2200000000000002E-3</v>
      </c>
      <c r="L137" s="13">
        <f t="shared" si="5"/>
        <v>263.48656</v>
      </c>
      <c r="M137" s="116"/>
      <c r="N137" s="117"/>
      <c r="O137" s="114"/>
      <c r="P137" s="118"/>
      <c r="Q137" s="119"/>
      <c r="R137" s="120"/>
      <c r="S137" s="121"/>
      <c r="T137" s="124"/>
      <c r="U137" s="202" t="s">
        <v>245</v>
      </c>
      <c r="V137" s="56"/>
      <c r="X137" s="8"/>
    </row>
    <row r="138" spans="1:24" x14ac:dyDescent="0.2">
      <c r="B138" s="59"/>
      <c r="C138" s="58" t="s">
        <v>106</v>
      </c>
      <c r="D138" s="105"/>
      <c r="E138" s="106"/>
      <c r="F138" s="108"/>
      <c r="G138" s="109"/>
      <c r="H138" s="107"/>
      <c r="I138" s="10">
        <v>200</v>
      </c>
      <c r="J138" s="9">
        <v>0.57699999999999996</v>
      </c>
      <c r="K138" s="19">
        <v>2.3900000000000002E-3</v>
      </c>
      <c r="L138" s="13">
        <f t="shared" si="5"/>
        <v>215.13722000000001</v>
      </c>
      <c r="M138" s="116"/>
      <c r="N138" s="117"/>
      <c r="O138" s="114"/>
      <c r="P138" s="118"/>
      <c r="Q138" s="119"/>
      <c r="R138" s="120"/>
      <c r="S138" s="121"/>
      <c r="T138" s="124"/>
      <c r="U138" s="202" t="s">
        <v>245</v>
      </c>
      <c r="V138" s="56"/>
      <c r="X138" s="8"/>
    </row>
    <row r="139" spans="1:24" x14ac:dyDescent="0.2">
      <c r="B139" s="59"/>
      <c r="C139" s="58" t="s">
        <v>111</v>
      </c>
      <c r="D139" s="105"/>
      <c r="E139" s="106"/>
      <c r="F139" s="108"/>
      <c r="G139" s="109"/>
      <c r="H139" s="107"/>
      <c r="I139" s="10">
        <v>250</v>
      </c>
      <c r="J139" s="9">
        <v>0.79900000000000004</v>
      </c>
      <c r="K139" s="19">
        <v>2.48E-3</v>
      </c>
      <c r="L139" s="13">
        <f t="shared" si="5"/>
        <v>270.71404000000001</v>
      </c>
      <c r="M139" s="116"/>
      <c r="N139" s="117"/>
      <c r="O139" s="114"/>
      <c r="P139" s="118"/>
      <c r="Q139" s="119"/>
      <c r="R139" s="120"/>
      <c r="S139" s="121"/>
      <c r="T139" s="124"/>
      <c r="U139" s="202" t="s">
        <v>245</v>
      </c>
      <c r="V139" s="56"/>
      <c r="X139" s="8"/>
    </row>
    <row r="140" spans="1:24" x14ac:dyDescent="0.2">
      <c r="B140" s="59"/>
      <c r="C140" s="58" t="s">
        <v>112</v>
      </c>
      <c r="D140" s="105"/>
      <c r="E140" s="106"/>
      <c r="F140" s="108"/>
      <c r="G140" s="109"/>
      <c r="H140" s="107"/>
      <c r="I140" s="10">
        <v>185</v>
      </c>
      <c r="J140" s="9">
        <v>0.14299999999999999</v>
      </c>
      <c r="K140" s="19">
        <v>4.3099999999999996E-3</v>
      </c>
      <c r="L140" s="13">
        <f t="shared" si="5"/>
        <v>189.85937999999999</v>
      </c>
      <c r="M140" s="116"/>
      <c r="N140" s="117"/>
      <c r="O140" s="114"/>
      <c r="P140" s="118"/>
      <c r="Q140" s="119"/>
      <c r="R140" s="120"/>
      <c r="S140" s="121"/>
      <c r="T140" s="124"/>
      <c r="U140" s="202" t="s">
        <v>245</v>
      </c>
      <c r="V140" s="56"/>
      <c r="X140" s="8"/>
    </row>
    <row r="141" spans="1:24" x14ac:dyDescent="0.2">
      <c r="B141" s="59"/>
      <c r="C141" s="58" t="s">
        <v>164</v>
      </c>
      <c r="D141" s="105"/>
      <c r="E141" s="106"/>
      <c r="F141" s="108"/>
      <c r="G141" s="109"/>
      <c r="H141" s="107"/>
      <c r="I141" s="10">
        <v>231</v>
      </c>
      <c r="J141" s="9">
        <v>1.1499999999999999</v>
      </c>
      <c r="K141" s="19">
        <v>9.9000000000000008E-3</v>
      </c>
      <c r="L141" s="13">
        <f t="shared" si="5"/>
        <v>262.7002</v>
      </c>
      <c r="M141" s="116"/>
      <c r="N141" s="117"/>
      <c r="O141" s="114"/>
      <c r="P141" s="118"/>
      <c r="Q141" s="119"/>
      <c r="R141" s="120"/>
      <c r="S141" s="121"/>
      <c r="T141" s="124"/>
      <c r="U141" s="202" t="s">
        <v>245</v>
      </c>
      <c r="V141" s="56"/>
      <c r="X141" s="8"/>
    </row>
    <row r="142" spans="1:24" x14ac:dyDescent="0.2">
      <c r="B142" s="59"/>
      <c r="C142" s="58" t="s">
        <v>222</v>
      </c>
      <c r="D142" s="105"/>
      <c r="E142" s="106"/>
      <c r="F142" s="108"/>
      <c r="G142" s="109"/>
      <c r="H142" s="107"/>
      <c r="I142" s="10">
        <v>185</v>
      </c>
      <c r="J142" s="9">
        <v>0.17299999999999999</v>
      </c>
      <c r="K142" s="19">
        <v>6.9199999999999999E-3</v>
      </c>
      <c r="L142" s="13">
        <f t="shared" si="5"/>
        <v>191.38715999999999</v>
      </c>
      <c r="M142" s="116"/>
      <c r="N142" s="117"/>
      <c r="O142" s="114"/>
      <c r="P142" s="118"/>
      <c r="Q142" s="119"/>
      <c r="R142" s="120"/>
      <c r="S142" s="121"/>
      <c r="T142" s="124"/>
      <c r="U142" s="202" t="s">
        <v>245</v>
      </c>
      <c r="V142" s="56"/>
      <c r="X142" s="8"/>
    </row>
    <row r="143" spans="1:24" x14ac:dyDescent="0.2">
      <c r="B143" s="59"/>
      <c r="C143" s="58" t="s">
        <v>76</v>
      </c>
      <c r="D143" s="105"/>
      <c r="E143" s="106"/>
      <c r="F143" s="108"/>
      <c r="G143" s="109"/>
      <c r="H143" s="107"/>
      <c r="I143" s="10">
        <v>38.799999999999997</v>
      </c>
      <c r="J143" s="9">
        <v>0.126</v>
      </c>
      <c r="K143" s="19">
        <v>4.5199999999999998E-4</v>
      </c>
      <c r="L143" s="13">
        <f t="shared" si="5"/>
        <v>42.084695999999994</v>
      </c>
      <c r="M143" s="116"/>
      <c r="N143" s="117"/>
      <c r="O143" s="114"/>
      <c r="P143" s="118"/>
      <c r="Q143" s="119"/>
      <c r="R143" s="120"/>
      <c r="S143" s="121"/>
      <c r="T143" s="124"/>
      <c r="U143" s="202" t="s">
        <v>245</v>
      </c>
      <c r="V143" s="56"/>
      <c r="X143" s="8"/>
    </row>
    <row r="144" spans="1:24" x14ac:dyDescent="0.2">
      <c r="B144" s="59"/>
      <c r="C144" s="58" t="s">
        <v>102</v>
      </c>
      <c r="D144" s="105"/>
      <c r="E144" s="106"/>
      <c r="F144" s="108"/>
      <c r="G144" s="109"/>
      <c r="H144" s="107"/>
      <c r="I144" s="10">
        <v>282</v>
      </c>
      <c r="J144" s="9">
        <v>0.44800000000000001</v>
      </c>
      <c r="K144" s="19">
        <v>1.2500000000000001E-2</v>
      </c>
      <c r="L144" s="13">
        <f t="shared" si="5"/>
        <v>296.92500000000001</v>
      </c>
      <c r="M144" s="116"/>
      <c r="N144" s="117"/>
      <c r="O144" s="114"/>
      <c r="P144" s="118"/>
      <c r="Q144" s="119"/>
      <c r="R144" s="120"/>
      <c r="S144" s="121"/>
      <c r="T144" s="124"/>
      <c r="U144" s="202" t="s">
        <v>245</v>
      </c>
      <c r="V144" s="56"/>
      <c r="X144" s="8"/>
    </row>
    <row r="145" spans="2:24" x14ac:dyDescent="0.2">
      <c r="B145" s="59"/>
      <c r="C145" s="58" t="s">
        <v>107</v>
      </c>
      <c r="D145" s="105"/>
      <c r="E145" s="106"/>
      <c r="F145" s="108"/>
      <c r="G145" s="109"/>
      <c r="H145" s="107"/>
      <c r="I145" s="10">
        <v>279</v>
      </c>
      <c r="J145" s="9">
        <v>0.33100000000000002</v>
      </c>
      <c r="K145" s="19">
        <v>1.4200000000000001E-2</v>
      </c>
      <c r="L145" s="13">
        <f t="shared" si="5"/>
        <v>291.50659999999999</v>
      </c>
      <c r="M145" s="116"/>
      <c r="N145" s="117"/>
      <c r="O145" s="114"/>
      <c r="P145" s="118"/>
      <c r="Q145" s="119"/>
      <c r="R145" s="120"/>
      <c r="S145" s="121"/>
      <c r="T145" s="124"/>
      <c r="U145" s="202" t="s">
        <v>245</v>
      </c>
      <c r="V145" s="56"/>
      <c r="X145" s="8"/>
    </row>
    <row r="146" spans="2:24" x14ac:dyDescent="0.2">
      <c r="B146" s="59"/>
      <c r="C146" s="58" t="s">
        <v>113</v>
      </c>
      <c r="D146" s="105"/>
      <c r="E146" s="106"/>
      <c r="F146" s="108"/>
      <c r="G146" s="109"/>
      <c r="H146" s="107"/>
      <c r="I146" s="10">
        <v>288</v>
      </c>
      <c r="J146" s="9">
        <v>0.22600000000000001</v>
      </c>
      <c r="K146" s="19">
        <v>7.3200000000000001E-3</v>
      </c>
      <c r="L146" s="13">
        <f t="shared" si="5"/>
        <v>295.83135999999996</v>
      </c>
      <c r="M146" s="116"/>
      <c r="N146" s="117"/>
      <c r="O146" s="114"/>
      <c r="P146" s="118"/>
      <c r="Q146" s="119"/>
      <c r="R146" s="120"/>
      <c r="S146" s="121"/>
      <c r="T146" s="124"/>
      <c r="U146" s="202" t="s">
        <v>245</v>
      </c>
      <c r="V146" s="56"/>
      <c r="X146" s="8"/>
    </row>
    <row r="147" spans="2:24" x14ac:dyDescent="0.2">
      <c r="B147" s="59"/>
      <c r="C147" s="58" t="s">
        <v>120</v>
      </c>
      <c r="D147" s="105"/>
      <c r="E147" s="106"/>
      <c r="F147" s="108"/>
      <c r="G147" s="109"/>
      <c r="H147" s="107"/>
      <c r="I147" s="10">
        <v>249</v>
      </c>
      <c r="J147" s="9">
        <v>0.22600000000000001</v>
      </c>
      <c r="K147" s="19">
        <v>3.79E-3</v>
      </c>
      <c r="L147" s="13">
        <f t="shared" si="5"/>
        <v>255.77942000000002</v>
      </c>
      <c r="M147" s="116"/>
      <c r="N147" s="117"/>
      <c r="O147" s="114"/>
      <c r="P147" s="118"/>
      <c r="Q147" s="119"/>
      <c r="R147" s="120"/>
      <c r="S147" s="121"/>
      <c r="T147" s="124"/>
      <c r="U147" s="202" t="s">
        <v>245</v>
      </c>
      <c r="V147" s="56"/>
      <c r="X147" s="8"/>
    </row>
    <row r="148" spans="2:24" x14ac:dyDescent="0.2">
      <c r="B148" s="59"/>
      <c r="C148" s="58" t="s">
        <v>121</v>
      </c>
      <c r="D148" s="105"/>
      <c r="E148" s="106"/>
      <c r="F148" s="108"/>
      <c r="G148" s="109"/>
      <c r="H148" s="107"/>
      <c r="I148" s="10">
        <v>195</v>
      </c>
      <c r="J148" s="9">
        <v>0.20300000000000001</v>
      </c>
      <c r="K148" s="19">
        <v>2.48E-3</v>
      </c>
      <c r="L148" s="13">
        <f t="shared" si="5"/>
        <v>200.81403999999998</v>
      </c>
      <c r="M148" s="116"/>
      <c r="N148" s="117"/>
      <c r="O148" s="114"/>
      <c r="P148" s="118"/>
      <c r="Q148" s="119"/>
      <c r="R148" s="120"/>
      <c r="S148" s="121"/>
      <c r="T148" s="124"/>
      <c r="U148" s="202" t="s">
        <v>245</v>
      </c>
      <c r="V148" s="56"/>
      <c r="X148" s="8"/>
    </row>
    <row r="149" spans="2:24" x14ac:dyDescent="0.2">
      <c r="B149" s="59"/>
      <c r="C149" s="58" t="s">
        <v>122</v>
      </c>
      <c r="D149" s="105"/>
      <c r="E149" s="106"/>
      <c r="F149" s="108"/>
      <c r="G149" s="109"/>
      <c r="H149" s="107"/>
      <c r="I149" s="10">
        <v>265</v>
      </c>
      <c r="J149" s="9">
        <v>9.5100000000000004E-2</v>
      </c>
      <c r="K149" s="19">
        <v>1.0200000000000001E-2</v>
      </c>
      <c r="L149" s="13">
        <f t="shared" si="5"/>
        <v>270.4171</v>
      </c>
      <c r="M149" s="116"/>
      <c r="N149" s="117"/>
      <c r="O149" s="114"/>
      <c r="P149" s="118"/>
      <c r="Q149" s="119"/>
      <c r="R149" s="120"/>
      <c r="S149" s="121"/>
      <c r="T149" s="124"/>
      <c r="U149" s="202" t="s">
        <v>245</v>
      </c>
      <c r="V149" s="56"/>
      <c r="X149" s="8"/>
    </row>
    <row r="150" spans="2:24" x14ac:dyDescent="0.2">
      <c r="B150" s="59"/>
      <c r="C150" s="58" t="s">
        <v>105</v>
      </c>
      <c r="D150" s="105"/>
      <c r="E150" s="106"/>
      <c r="F150" s="108"/>
      <c r="G150" s="109"/>
      <c r="H150" s="107"/>
      <c r="I150" s="10">
        <v>167</v>
      </c>
      <c r="J150" s="9">
        <v>0.60899999999999999</v>
      </c>
      <c r="K150" s="19">
        <v>5.2399999999999999E-3</v>
      </c>
      <c r="L150" s="13">
        <f t="shared" si="5"/>
        <v>183.78652</v>
      </c>
      <c r="M150" s="116"/>
      <c r="N150" s="117"/>
      <c r="O150" s="114"/>
      <c r="P150" s="118"/>
      <c r="Q150" s="119"/>
      <c r="R150" s="120"/>
      <c r="S150" s="121"/>
      <c r="T150" s="124"/>
      <c r="U150" s="202" t="s">
        <v>245</v>
      </c>
      <c r="V150" s="56"/>
      <c r="X150" s="8"/>
    </row>
    <row r="151" spans="2:24" x14ac:dyDescent="0.2">
      <c r="B151" s="59"/>
      <c r="C151" s="58" t="s">
        <v>223</v>
      </c>
      <c r="D151" s="105"/>
      <c r="E151" s="106"/>
      <c r="F151" s="108"/>
      <c r="G151" s="109"/>
      <c r="H151" s="107"/>
      <c r="I151" s="10">
        <v>226</v>
      </c>
      <c r="J151" s="9">
        <v>0.19400000000000001</v>
      </c>
      <c r="K151" s="19">
        <v>3.6800000000000001E-3</v>
      </c>
      <c r="L151" s="13">
        <f t="shared" si="5"/>
        <v>231.94664</v>
      </c>
      <c r="M151" s="116"/>
      <c r="N151" s="117"/>
      <c r="O151" s="114"/>
      <c r="P151" s="118"/>
      <c r="Q151" s="119"/>
      <c r="R151" s="120"/>
      <c r="S151" s="121"/>
      <c r="T151" s="124"/>
      <c r="U151" s="202" t="s">
        <v>245</v>
      </c>
      <c r="V151" s="56"/>
      <c r="X151" s="8"/>
    </row>
    <row r="152" spans="2:24" x14ac:dyDescent="0.2">
      <c r="B152" s="59"/>
      <c r="C152" s="58" t="s">
        <v>131</v>
      </c>
      <c r="D152" s="105"/>
      <c r="E152" s="106"/>
      <c r="F152" s="108"/>
      <c r="G152" s="109"/>
      <c r="H152" s="107"/>
      <c r="I152" s="10">
        <v>234</v>
      </c>
      <c r="J152" s="9">
        <v>0.36899999999999999</v>
      </c>
      <c r="K152" s="19">
        <v>1.04E-2</v>
      </c>
      <c r="L152" s="13">
        <f t="shared" si="5"/>
        <v>246.32419999999999</v>
      </c>
      <c r="M152" s="116"/>
      <c r="N152" s="117"/>
      <c r="O152" s="114"/>
      <c r="P152" s="118"/>
      <c r="Q152" s="119"/>
      <c r="R152" s="120"/>
      <c r="S152" s="121"/>
      <c r="T152" s="124"/>
      <c r="U152" s="202" t="s">
        <v>245</v>
      </c>
      <c r="V152" s="56"/>
      <c r="X152" s="8"/>
    </row>
    <row r="153" spans="2:24" x14ac:dyDescent="0.2">
      <c r="B153" s="59"/>
      <c r="C153" s="58" t="s">
        <v>103</v>
      </c>
      <c r="D153" s="105"/>
      <c r="E153" s="106"/>
      <c r="F153" s="108"/>
      <c r="G153" s="109"/>
      <c r="H153" s="107"/>
      <c r="I153" s="10">
        <v>83.6</v>
      </c>
      <c r="J153" s="9">
        <v>1.6899999999999998E-2</v>
      </c>
      <c r="K153" s="19">
        <v>3.7100000000000002E-3</v>
      </c>
      <c r="L153" s="13">
        <f t="shared" si="5"/>
        <v>85.128079999999997</v>
      </c>
      <c r="M153" s="116"/>
      <c r="N153" s="117"/>
      <c r="O153" s="114"/>
      <c r="P153" s="118"/>
      <c r="Q153" s="119"/>
      <c r="R153" s="120"/>
      <c r="S153" s="121"/>
      <c r="T153" s="124"/>
      <c r="U153" s="202" t="s">
        <v>245</v>
      </c>
      <c r="V153" s="56"/>
      <c r="X153" s="8"/>
    </row>
    <row r="154" spans="2:24" x14ac:dyDescent="0.2">
      <c r="B154" s="59"/>
      <c r="C154" s="58" t="s">
        <v>104</v>
      </c>
      <c r="D154" s="105"/>
      <c r="E154" s="106"/>
      <c r="F154" s="108"/>
      <c r="G154" s="109"/>
      <c r="H154" s="107"/>
      <c r="I154" s="10">
        <v>184</v>
      </c>
      <c r="J154" s="9">
        <v>0.30499999999999999</v>
      </c>
      <c r="K154" s="19">
        <v>7.5599999999999999E-3</v>
      </c>
      <c r="L154" s="13">
        <f t="shared" si="5"/>
        <v>193.87788</v>
      </c>
      <c r="M154" s="116"/>
      <c r="N154" s="117"/>
      <c r="O154" s="114"/>
      <c r="P154" s="118"/>
      <c r="Q154" s="119"/>
      <c r="R154" s="120"/>
      <c r="S154" s="121"/>
      <c r="T154" s="124"/>
      <c r="U154" s="202" t="s">
        <v>245</v>
      </c>
      <c r="V154" s="56"/>
      <c r="X154" s="8"/>
    </row>
    <row r="155" spans="2:24" x14ac:dyDescent="0.2">
      <c r="B155" s="59"/>
      <c r="C155" s="58" t="s">
        <v>123</v>
      </c>
      <c r="D155" s="105"/>
      <c r="E155" s="106"/>
      <c r="F155" s="108"/>
      <c r="G155" s="109"/>
      <c r="H155" s="107"/>
      <c r="I155" s="10">
        <v>263</v>
      </c>
      <c r="J155" s="9">
        <v>0.24</v>
      </c>
      <c r="K155" s="19">
        <v>3.96E-3</v>
      </c>
      <c r="L155" s="13">
        <f t="shared" si="5"/>
        <v>270.18007999999998</v>
      </c>
      <c r="M155" s="116"/>
      <c r="N155" s="117"/>
      <c r="O155" s="114"/>
      <c r="P155" s="118"/>
      <c r="Q155" s="119"/>
      <c r="R155" s="120"/>
      <c r="S155" s="121"/>
      <c r="T155" s="124"/>
      <c r="U155" s="202" t="s">
        <v>245</v>
      </c>
      <c r="V155" s="56"/>
      <c r="X155" s="8"/>
    </row>
    <row r="156" spans="2:24" x14ac:dyDescent="0.2">
      <c r="B156" s="59"/>
      <c r="C156" s="58" t="s">
        <v>132</v>
      </c>
      <c r="D156" s="105"/>
      <c r="E156" s="106"/>
      <c r="F156" s="108"/>
      <c r="G156" s="109"/>
      <c r="H156" s="107"/>
      <c r="I156" s="10">
        <v>14.7</v>
      </c>
      <c r="J156" s="9">
        <v>5.6500000000000002E-2</v>
      </c>
      <c r="K156" s="19">
        <v>5.71E-4</v>
      </c>
      <c r="L156" s="13">
        <f t="shared" si="5"/>
        <v>16.282658000000001</v>
      </c>
      <c r="M156" s="116"/>
      <c r="N156" s="117"/>
      <c r="O156" s="114"/>
      <c r="P156" s="118"/>
      <c r="Q156" s="119"/>
      <c r="R156" s="120"/>
      <c r="S156" s="121"/>
      <c r="T156" s="124"/>
      <c r="U156" s="202" t="s">
        <v>245</v>
      </c>
      <c r="V156" s="56"/>
      <c r="X156" s="8"/>
    </row>
    <row r="157" spans="2:24" x14ac:dyDescent="0.2">
      <c r="B157" s="59"/>
      <c r="C157" s="58" t="s">
        <v>124</v>
      </c>
      <c r="D157" s="105"/>
      <c r="E157" s="106"/>
      <c r="F157" s="108"/>
      <c r="G157" s="109"/>
      <c r="H157" s="107"/>
      <c r="I157" s="10">
        <v>293</v>
      </c>
      <c r="J157" s="9">
        <v>0.23400000000000001</v>
      </c>
      <c r="K157" s="19">
        <v>5.1000000000000004E-3</v>
      </c>
      <c r="L157" s="13">
        <f t="shared" si="5"/>
        <v>300.3698</v>
      </c>
      <c r="M157" s="116"/>
      <c r="N157" s="117"/>
      <c r="O157" s="114"/>
      <c r="P157" s="118"/>
      <c r="Q157" s="119"/>
      <c r="R157" s="120"/>
      <c r="S157" s="121"/>
      <c r="T157" s="124"/>
      <c r="U157" s="202" t="s">
        <v>245</v>
      </c>
      <c r="V157" s="56"/>
      <c r="X157" s="8"/>
    </row>
    <row r="158" spans="2:24" x14ac:dyDescent="0.2">
      <c r="B158" s="59"/>
      <c r="C158" s="58" t="s">
        <v>114</v>
      </c>
      <c r="D158" s="105"/>
      <c r="E158" s="106"/>
      <c r="F158" s="108"/>
      <c r="G158" s="109"/>
      <c r="H158" s="107"/>
      <c r="I158" s="10">
        <v>230</v>
      </c>
      <c r="J158" s="9">
        <v>0.58299999999999996</v>
      </c>
      <c r="K158" s="19">
        <v>7.92E-3</v>
      </c>
      <c r="L158" s="13">
        <f t="shared" si="5"/>
        <v>246.93516</v>
      </c>
      <c r="M158" s="116"/>
      <c r="N158" s="117"/>
      <c r="O158" s="114"/>
      <c r="P158" s="118"/>
      <c r="Q158" s="119"/>
      <c r="R158" s="120"/>
      <c r="S158" s="121"/>
      <c r="T158" s="124"/>
      <c r="U158" s="202" t="s">
        <v>245</v>
      </c>
      <c r="V158" s="56"/>
      <c r="X158" s="8"/>
    </row>
    <row r="159" spans="2:24" x14ac:dyDescent="0.2">
      <c r="B159" s="59"/>
      <c r="C159" s="58" t="s">
        <v>133</v>
      </c>
      <c r="D159" s="105"/>
      <c r="E159" s="106"/>
      <c r="F159" s="108"/>
      <c r="G159" s="109"/>
      <c r="H159" s="107"/>
      <c r="I159" s="10">
        <v>309</v>
      </c>
      <c r="J159" s="9">
        <v>8.4699999999999998E-2</v>
      </c>
      <c r="K159" s="19">
        <v>9.2399999999999999E-3</v>
      </c>
      <c r="L159" s="13">
        <f t="shared" si="5"/>
        <v>313.87101999999999</v>
      </c>
      <c r="M159" s="116"/>
      <c r="N159" s="117"/>
      <c r="O159" s="114"/>
      <c r="P159" s="118"/>
      <c r="Q159" s="119"/>
      <c r="R159" s="120"/>
      <c r="S159" s="121"/>
      <c r="T159" s="124"/>
      <c r="U159" s="202" t="s">
        <v>245</v>
      </c>
      <c r="V159" s="56"/>
      <c r="X159" s="8"/>
    </row>
    <row r="160" spans="2:24" x14ac:dyDescent="0.2">
      <c r="B160" s="59"/>
      <c r="C160" s="58" t="s">
        <v>115</v>
      </c>
      <c r="D160" s="105"/>
      <c r="E160" s="106"/>
      <c r="F160" s="108"/>
      <c r="G160" s="109"/>
      <c r="H160" s="107"/>
      <c r="I160" s="17">
        <v>71.3</v>
      </c>
      <c r="J160" s="9">
        <v>0.13900000000000001</v>
      </c>
      <c r="K160" s="19">
        <v>1.48E-3</v>
      </c>
      <c r="L160" s="18">
        <f t="shared" si="5"/>
        <v>75.216039999999992</v>
      </c>
      <c r="M160" s="116"/>
      <c r="N160" s="117"/>
      <c r="O160" s="114"/>
      <c r="P160" s="118"/>
      <c r="Q160" s="119"/>
      <c r="R160" s="120"/>
      <c r="S160" s="121"/>
      <c r="T160" s="124"/>
      <c r="U160" s="202" t="s">
        <v>245</v>
      </c>
      <c r="V160" s="56"/>
      <c r="X160" s="8"/>
    </row>
    <row r="161" spans="2:24" x14ac:dyDescent="0.2">
      <c r="B161" s="59"/>
      <c r="C161" s="58" t="s">
        <v>109</v>
      </c>
      <c r="D161" s="105"/>
      <c r="E161" s="106"/>
      <c r="F161" s="108"/>
      <c r="G161" s="109"/>
      <c r="H161" s="107"/>
      <c r="I161" s="10">
        <v>1.62</v>
      </c>
      <c r="J161" s="9">
        <v>2.5300000000000001E-3</v>
      </c>
      <c r="K161" s="19">
        <v>1.1900000000000001E-4</v>
      </c>
      <c r="L161" s="13">
        <f t="shared" si="5"/>
        <v>1.7187120000000002</v>
      </c>
      <c r="M161" s="116"/>
      <c r="N161" s="117"/>
      <c r="O161" s="114"/>
      <c r="P161" s="118"/>
      <c r="Q161" s="119"/>
      <c r="R161" s="120"/>
      <c r="S161" s="121"/>
      <c r="T161" s="124"/>
      <c r="U161" s="202" t="s">
        <v>245</v>
      </c>
      <c r="V161" s="56"/>
      <c r="X161" s="8"/>
    </row>
    <row r="162" spans="2:24" x14ac:dyDescent="0.2">
      <c r="B162" s="59"/>
      <c r="C162" s="58" t="s">
        <v>125</v>
      </c>
      <c r="D162" s="105"/>
      <c r="E162" s="106"/>
      <c r="F162" s="108"/>
      <c r="G162" s="109"/>
      <c r="H162" s="107"/>
      <c r="I162" s="10">
        <v>204</v>
      </c>
      <c r="J162" s="9">
        <v>0.248</v>
      </c>
      <c r="K162" s="19">
        <v>1.83E-3</v>
      </c>
      <c r="L162" s="13">
        <f t="shared" si="5"/>
        <v>210.74534</v>
      </c>
      <c r="M162" s="116"/>
      <c r="N162" s="117"/>
      <c r="O162" s="114"/>
      <c r="P162" s="118"/>
      <c r="Q162" s="119"/>
      <c r="R162" s="120"/>
      <c r="S162" s="121"/>
      <c r="T162" s="124"/>
      <c r="U162" s="202" t="s">
        <v>245</v>
      </c>
      <c r="V162" s="56"/>
      <c r="X162" s="8"/>
    </row>
    <row r="163" spans="2:24" x14ac:dyDescent="0.2">
      <c r="B163" s="59"/>
      <c r="C163" s="58" t="s">
        <v>108</v>
      </c>
      <c r="D163" s="105"/>
      <c r="E163" s="106"/>
      <c r="F163" s="108"/>
      <c r="G163" s="109"/>
      <c r="H163" s="107"/>
      <c r="I163" s="10">
        <v>143</v>
      </c>
      <c r="J163" s="9">
        <v>0.249</v>
      </c>
      <c r="K163" s="19">
        <v>2.0999999999999999E-3</v>
      </c>
      <c r="L163" s="13">
        <f t="shared" si="5"/>
        <v>149.85079999999999</v>
      </c>
      <c r="M163" s="116"/>
      <c r="N163" s="117"/>
      <c r="O163" s="114"/>
      <c r="P163" s="118"/>
      <c r="Q163" s="119"/>
      <c r="R163" s="120"/>
      <c r="S163" s="121"/>
      <c r="T163" s="124"/>
      <c r="U163" s="202" t="s">
        <v>245</v>
      </c>
      <c r="V163" s="56"/>
      <c r="X163" s="8"/>
    </row>
    <row r="164" spans="2:24" x14ac:dyDescent="0.2">
      <c r="B164" s="59"/>
      <c r="C164" s="58" t="s">
        <v>116</v>
      </c>
      <c r="D164" s="105"/>
      <c r="E164" s="106"/>
      <c r="F164" s="108"/>
      <c r="G164" s="109"/>
      <c r="H164" s="107"/>
      <c r="I164" s="10">
        <v>179</v>
      </c>
      <c r="J164" s="9">
        <v>0.3</v>
      </c>
      <c r="K164" s="19">
        <v>6.62E-3</v>
      </c>
      <c r="L164" s="13">
        <f t="shared" si="5"/>
        <v>188.47275999999999</v>
      </c>
      <c r="M164" s="116"/>
      <c r="N164" s="117"/>
      <c r="O164" s="114"/>
      <c r="P164" s="118"/>
      <c r="Q164" s="119"/>
      <c r="R164" s="120"/>
      <c r="S164" s="121"/>
      <c r="T164" s="124"/>
      <c r="U164" s="202" t="s">
        <v>245</v>
      </c>
      <c r="V164" s="56"/>
      <c r="X164" s="8"/>
    </row>
    <row r="165" spans="2:24" x14ac:dyDescent="0.2">
      <c r="B165" s="59"/>
      <c r="C165" s="58" t="s">
        <v>126</v>
      </c>
      <c r="D165" s="105"/>
      <c r="E165" s="106"/>
      <c r="F165" s="108"/>
      <c r="G165" s="109"/>
      <c r="H165" s="107"/>
      <c r="I165" s="10">
        <v>166</v>
      </c>
      <c r="J165" s="9">
        <v>0.20499999999999999</v>
      </c>
      <c r="K165" s="19">
        <v>1.4499999999999999E-3</v>
      </c>
      <c r="L165" s="13">
        <f t="shared" si="5"/>
        <v>171.55709999999999</v>
      </c>
      <c r="M165" s="116"/>
      <c r="N165" s="117"/>
      <c r="O165" s="114"/>
      <c r="P165" s="118"/>
      <c r="Q165" s="119"/>
      <c r="R165" s="120"/>
      <c r="S165" s="121"/>
      <c r="T165" s="124"/>
      <c r="U165" s="202" t="s">
        <v>245</v>
      </c>
      <c r="V165" s="56"/>
      <c r="X165" s="8"/>
    </row>
    <row r="166" spans="2:24" x14ac:dyDescent="0.2">
      <c r="B166" s="59"/>
      <c r="C166" s="58" t="s">
        <v>127</v>
      </c>
      <c r="D166" s="105"/>
      <c r="E166" s="106"/>
      <c r="F166" s="108"/>
      <c r="G166" s="109"/>
      <c r="H166" s="107"/>
      <c r="I166" s="10">
        <v>264</v>
      </c>
      <c r="J166" s="9">
        <v>0.252</v>
      </c>
      <c r="K166" s="19">
        <v>3.7499999999999999E-3</v>
      </c>
      <c r="L166" s="13">
        <f t="shared" si="5"/>
        <v>271.41750000000002</v>
      </c>
      <c r="M166" s="116"/>
      <c r="N166" s="117"/>
      <c r="O166" s="114"/>
      <c r="P166" s="118"/>
      <c r="Q166" s="119"/>
      <c r="R166" s="120"/>
      <c r="S166" s="121"/>
      <c r="T166" s="124"/>
      <c r="U166" s="202" t="s">
        <v>245</v>
      </c>
      <c r="V166" s="56"/>
      <c r="X166" s="8"/>
    </row>
    <row r="167" spans="2:24" x14ac:dyDescent="0.2">
      <c r="B167" s="59"/>
      <c r="C167" s="58" t="s">
        <v>178</v>
      </c>
      <c r="D167" s="105"/>
      <c r="E167" s="106"/>
      <c r="F167" s="108"/>
      <c r="G167" s="109"/>
      <c r="H167" s="107"/>
      <c r="I167" s="10">
        <v>151</v>
      </c>
      <c r="J167" s="9">
        <v>0.41</v>
      </c>
      <c r="K167" s="19">
        <v>1.72E-3</v>
      </c>
      <c r="L167" s="13">
        <f t="shared" si="5"/>
        <v>161.76256000000001</v>
      </c>
      <c r="M167" s="116"/>
      <c r="N167" s="117"/>
      <c r="O167" s="114"/>
      <c r="P167" s="118"/>
      <c r="Q167" s="119"/>
      <c r="R167" s="120"/>
      <c r="S167" s="121"/>
      <c r="T167" s="124"/>
      <c r="U167" s="202" t="s">
        <v>245</v>
      </c>
      <c r="V167" s="56"/>
      <c r="X167" s="8"/>
    </row>
    <row r="168" spans="2:24" x14ac:dyDescent="0.2">
      <c r="B168" s="59"/>
      <c r="C168" s="58" t="s">
        <v>110</v>
      </c>
      <c r="D168" s="105"/>
      <c r="E168" s="106"/>
      <c r="F168" s="108"/>
      <c r="G168" s="109"/>
      <c r="H168" s="107"/>
      <c r="I168" s="10">
        <v>173</v>
      </c>
      <c r="J168" s="9">
        <v>0.29399999999999998</v>
      </c>
      <c r="K168" s="19">
        <v>4.1399999999999996E-3</v>
      </c>
      <c r="L168" s="13">
        <f t="shared" si="5"/>
        <v>181.58372</v>
      </c>
      <c r="M168" s="116"/>
      <c r="N168" s="117"/>
      <c r="O168" s="114"/>
      <c r="P168" s="118"/>
      <c r="Q168" s="119"/>
      <c r="R168" s="120"/>
      <c r="S168" s="121"/>
      <c r="T168" s="124"/>
      <c r="U168" s="202" t="s">
        <v>245</v>
      </c>
      <c r="V168" s="56"/>
      <c r="X168" s="8"/>
    </row>
    <row r="169" spans="2:24" x14ac:dyDescent="0.2">
      <c r="B169" s="59"/>
      <c r="C169" s="58" t="s">
        <v>128</v>
      </c>
      <c r="D169" s="105"/>
      <c r="E169" s="106"/>
      <c r="F169" s="108"/>
      <c r="G169" s="109"/>
      <c r="H169" s="107"/>
      <c r="I169" s="10">
        <v>200</v>
      </c>
      <c r="J169" s="9">
        <v>0.20100000000000001</v>
      </c>
      <c r="K169" s="19">
        <v>2.66E-3</v>
      </c>
      <c r="L169" s="13">
        <f t="shared" si="5"/>
        <v>205.81768</v>
      </c>
      <c r="M169" s="116"/>
      <c r="N169" s="117"/>
      <c r="O169" s="114"/>
      <c r="P169" s="118"/>
      <c r="Q169" s="119"/>
      <c r="R169" s="120"/>
      <c r="S169" s="121"/>
      <c r="T169" s="124"/>
      <c r="U169" s="202" t="s">
        <v>245</v>
      </c>
      <c r="V169" s="56"/>
      <c r="X169" s="8"/>
    </row>
    <row r="170" spans="2:24" x14ac:dyDescent="0.2">
      <c r="B170" s="59"/>
      <c r="C170" s="58" t="s">
        <v>135</v>
      </c>
      <c r="D170" s="105"/>
      <c r="E170" s="106"/>
      <c r="F170" s="108"/>
      <c r="G170" s="109"/>
      <c r="H170" s="107"/>
      <c r="I170" s="17">
        <v>1.04</v>
      </c>
      <c r="J170" s="9">
        <v>3.7399999999999998E-3</v>
      </c>
      <c r="K170" s="19">
        <v>1.0399999999999999E-4</v>
      </c>
      <c r="L170" s="18">
        <f t="shared" si="5"/>
        <v>1.1644919999999999</v>
      </c>
      <c r="M170" s="116"/>
      <c r="N170" s="117"/>
      <c r="O170" s="114"/>
      <c r="P170" s="118"/>
      <c r="Q170" s="119"/>
      <c r="R170" s="120"/>
      <c r="S170" s="121"/>
      <c r="T170" s="124"/>
      <c r="U170" s="202" t="s">
        <v>245</v>
      </c>
      <c r="V170" s="56"/>
      <c r="X170" s="8"/>
    </row>
    <row r="171" spans="2:24" x14ac:dyDescent="0.2">
      <c r="B171" s="59"/>
      <c r="C171" s="58" t="s">
        <v>117</v>
      </c>
      <c r="D171" s="105"/>
      <c r="E171" s="106"/>
      <c r="F171" s="108"/>
      <c r="G171" s="109"/>
      <c r="H171" s="107"/>
      <c r="I171" s="10">
        <v>170</v>
      </c>
      <c r="J171" s="9">
        <v>0.47899999999999998</v>
      </c>
      <c r="K171" s="19">
        <v>6.2500000000000003E-3</v>
      </c>
      <c r="L171" s="13">
        <f t="shared" si="5"/>
        <v>183.83750000000001</v>
      </c>
      <c r="M171" s="116"/>
      <c r="N171" s="117"/>
      <c r="O171" s="114"/>
      <c r="P171" s="118"/>
      <c r="Q171" s="119"/>
      <c r="R171" s="120"/>
      <c r="S171" s="121"/>
      <c r="T171" s="124"/>
      <c r="U171" s="202" t="s">
        <v>245</v>
      </c>
      <c r="V171" s="56"/>
      <c r="X171" s="8"/>
    </row>
    <row r="172" spans="2:24" x14ac:dyDescent="0.2">
      <c r="B172" s="59"/>
      <c r="C172" s="58" t="s">
        <v>79</v>
      </c>
      <c r="D172" s="105"/>
      <c r="E172" s="106"/>
      <c r="F172" s="108"/>
      <c r="G172" s="109"/>
      <c r="H172" s="107"/>
      <c r="I172" s="10">
        <v>159</v>
      </c>
      <c r="J172" s="9">
        <v>0.27600000000000002</v>
      </c>
      <c r="K172" s="19">
        <v>4.28E-3</v>
      </c>
      <c r="L172" s="13">
        <f t="shared" si="5"/>
        <v>167.17544000000001</v>
      </c>
      <c r="M172" s="116"/>
      <c r="N172" s="117"/>
      <c r="O172" s="114"/>
      <c r="P172" s="118"/>
      <c r="Q172" s="119"/>
      <c r="R172" s="120"/>
      <c r="S172" s="121"/>
      <c r="T172" s="124"/>
      <c r="U172" s="202" t="s">
        <v>245</v>
      </c>
      <c r="V172" s="56"/>
      <c r="X172" s="8"/>
    </row>
    <row r="173" spans="2:24" x14ac:dyDescent="0.2">
      <c r="B173" s="59"/>
      <c r="C173" s="58" t="s">
        <v>134</v>
      </c>
      <c r="D173" s="105"/>
      <c r="E173" s="106"/>
      <c r="F173" s="108"/>
      <c r="G173" s="109"/>
      <c r="H173" s="107"/>
      <c r="I173" s="10">
        <v>272</v>
      </c>
      <c r="J173" s="9">
        <v>0.877</v>
      </c>
      <c r="K173" s="19">
        <v>2.6700000000000001E-3</v>
      </c>
      <c r="L173" s="13">
        <f t="shared" si="5"/>
        <v>294.72066000000001</v>
      </c>
      <c r="M173" s="116"/>
      <c r="N173" s="117"/>
      <c r="O173" s="114"/>
      <c r="P173" s="118"/>
      <c r="Q173" s="119"/>
      <c r="R173" s="120"/>
      <c r="S173" s="121"/>
      <c r="T173" s="124"/>
      <c r="U173" s="202" t="s">
        <v>245</v>
      </c>
      <c r="V173" s="56"/>
      <c r="X173" s="8"/>
    </row>
    <row r="174" spans="2:24" x14ac:dyDescent="0.2">
      <c r="B174" s="59"/>
      <c r="C174" s="58" t="s">
        <v>129</v>
      </c>
      <c r="D174" s="105"/>
      <c r="E174" s="106"/>
      <c r="F174" s="108"/>
      <c r="G174" s="109"/>
      <c r="H174" s="107"/>
      <c r="I174" s="10">
        <v>191</v>
      </c>
      <c r="J174" s="9">
        <v>8.6699999999999999E-2</v>
      </c>
      <c r="K174" s="19">
        <v>1.81E-3</v>
      </c>
      <c r="L174" s="13">
        <f t="shared" si="5"/>
        <v>193.70687999999998</v>
      </c>
      <c r="M174" s="116"/>
      <c r="N174" s="117"/>
      <c r="O174" s="114"/>
      <c r="P174" s="118"/>
      <c r="Q174" s="119"/>
      <c r="R174" s="120"/>
      <c r="S174" s="121"/>
      <c r="T174" s="124"/>
      <c r="U174" s="202" t="s">
        <v>245</v>
      </c>
      <c r="V174" s="56"/>
      <c r="X174" s="8"/>
    </row>
    <row r="175" spans="2:24" x14ac:dyDescent="0.2">
      <c r="B175" s="59"/>
      <c r="C175" s="58" t="s">
        <v>136</v>
      </c>
      <c r="D175" s="105"/>
      <c r="E175" s="106"/>
      <c r="F175" s="108"/>
      <c r="G175" s="109"/>
      <c r="H175" s="107"/>
      <c r="I175" s="10">
        <v>184</v>
      </c>
      <c r="J175" s="9">
        <v>0.54700000000000004</v>
      </c>
      <c r="K175" s="19">
        <v>2.16E-3</v>
      </c>
      <c r="L175" s="13">
        <f t="shared" si="5"/>
        <v>198.31868</v>
      </c>
      <c r="M175" s="116"/>
      <c r="N175" s="117"/>
      <c r="O175" s="114"/>
      <c r="P175" s="118"/>
      <c r="Q175" s="119"/>
      <c r="R175" s="120"/>
      <c r="S175" s="121"/>
      <c r="T175" s="124"/>
      <c r="U175" s="202" t="s">
        <v>245</v>
      </c>
      <c r="V175" s="56"/>
      <c r="X175" s="8"/>
    </row>
    <row r="176" spans="2:24" x14ac:dyDescent="0.2">
      <c r="B176" s="59"/>
      <c r="C176" s="58" t="s">
        <v>118</v>
      </c>
      <c r="D176" s="105"/>
      <c r="E176" s="106"/>
      <c r="F176" s="108"/>
      <c r="G176" s="109"/>
      <c r="H176" s="107"/>
      <c r="I176" s="10">
        <v>142</v>
      </c>
      <c r="J176" s="9">
        <v>0.249</v>
      </c>
      <c r="K176" s="19">
        <v>3.9399999999999999E-3</v>
      </c>
      <c r="L176" s="13">
        <f t="shared" si="5"/>
        <v>149.39911999999998</v>
      </c>
      <c r="M176" s="116"/>
      <c r="N176" s="117"/>
      <c r="O176" s="114"/>
      <c r="P176" s="118"/>
      <c r="Q176" s="119"/>
      <c r="R176" s="120"/>
      <c r="S176" s="121"/>
      <c r="T176" s="124"/>
      <c r="U176" s="202" t="s">
        <v>245</v>
      </c>
      <c r="V176" s="56"/>
      <c r="X176" s="8"/>
    </row>
    <row r="177" spans="2:24" x14ac:dyDescent="0.2">
      <c r="B177" s="59"/>
      <c r="C177" s="58" t="s">
        <v>130</v>
      </c>
      <c r="D177" s="105"/>
      <c r="E177" s="106"/>
      <c r="F177" s="108"/>
      <c r="G177" s="109"/>
      <c r="H177" s="107"/>
      <c r="I177" s="10">
        <v>228</v>
      </c>
      <c r="J177" s="9">
        <v>0.20899999999999999</v>
      </c>
      <c r="K177" s="19">
        <v>3.4099999999999998E-3</v>
      </c>
      <c r="L177" s="13">
        <f t="shared" si="5"/>
        <v>234.24117999999999</v>
      </c>
      <c r="M177" s="116"/>
      <c r="N177" s="117"/>
      <c r="O177" s="114"/>
      <c r="P177" s="118"/>
      <c r="Q177" s="119"/>
      <c r="R177" s="120"/>
      <c r="S177" s="121"/>
      <c r="T177" s="124"/>
      <c r="U177" s="202" t="s">
        <v>245</v>
      </c>
      <c r="V177" s="56"/>
      <c r="X177" s="8"/>
    </row>
    <row r="178" spans="2:24" x14ac:dyDescent="0.2">
      <c r="B178" s="59"/>
      <c r="C178" s="92" t="s">
        <v>137</v>
      </c>
      <c r="D178" s="105"/>
      <c r="E178" s="106"/>
      <c r="F178" s="110"/>
      <c r="G178" s="111"/>
      <c r="H178" s="112"/>
      <c r="I178" s="30">
        <v>109</v>
      </c>
      <c r="J178" s="31">
        <v>0.111</v>
      </c>
      <c r="K178" s="33">
        <v>2.0400000000000001E-3</v>
      </c>
      <c r="L178" s="32">
        <f t="shared" si="5"/>
        <v>112.38292000000001</v>
      </c>
      <c r="M178" s="116"/>
      <c r="N178" s="117"/>
      <c r="O178" s="114"/>
      <c r="P178" s="118"/>
      <c r="Q178" s="119"/>
      <c r="R178" s="120"/>
      <c r="S178" s="121"/>
      <c r="T178" s="124"/>
      <c r="U178" s="202" t="s">
        <v>245</v>
      </c>
      <c r="V178" s="56"/>
      <c r="X178" s="8"/>
    </row>
    <row r="179" spans="2:24" s="8" customFormat="1" x14ac:dyDescent="0.2">
      <c r="B179" s="59"/>
      <c r="C179" s="58"/>
      <c r="D179" s="41"/>
      <c r="E179" s="42"/>
      <c r="F179" s="43"/>
      <c r="G179" s="44"/>
      <c r="H179" s="45"/>
      <c r="I179" s="49"/>
      <c r="J179" s="43"/>
      <c r="K179" s="60"/>
      <c r="L179" s="45"/>
      <c r="M179" s="46"/>
      <c r="N179" s="48"/>
      <c r="O179" s="49"/>
      <c r="P179" s="50"/>
      <c r="Q179" s="51"/>
      <c r="R179" s="52"/>
      <c r="S179" s="53"/>
      <c r="T179" s="54"/>
      <c r="U179" s="184"/>
      <c r="V179" s="56"/>
    </row>
    <row r="180" spans="2:24" s="8" customFormat="1" x14ac:dyDescent="0.2">
      <c r="B180" s="139" t="s">
        <v>44</v>
      </c>
      <c r="C180" s="58"/>
      <c r="D180" s="143"/>
      <c r="E180" s="42"/>
      <c r="F180" s="43"/>
      <c r="G180" s="44"/>
      <c r="H180" s="45"/>
      <c r="I180" s="49"/>
      <c r="J180" s="43"/>
      <c r="K180" s="60"/>
      <c r="L180" s="45"/>
      <c r="M180" s="46"/>
      <c r="N180" s="48"/>
      <c r="O180" s="49"/>
      <c r="P180" s="50"/>
      <c r="Q180" s="144"/>
      <c r="R180" s="52"/>
      <c r="S180" s="53"/>
      <c r="T180" s="54"/>
      <c r="U180" s="184"/>
      <c r="V180" s="56"/>
    </row>
    <row r="181" spans="2:24" x14ac:dyDescent="0.2">
      <c r="B181" s="59"/>
      <c r="C181" s="58" t="s">
        <v>138</v>
      </c>
      <c r="D181" s="105"/>
      <c r="E181" s="106"/>
      <c r="F181" s="108"/>
      <c r="G181" s="109"/>
      <c r="H181" s="107"/>
      <c r="I181" s="10">
        <v>287</v>
      </c>
      <c r="J181" s="9">
        <v>0.17399999999999999</v>
      </c>
      <c r="K181" s="19">
        <v>9.41E-3</v>
      </c>
      <c r="L181" s="13">
        <f>+I181+J181*$D$10+K181*$D$11</f>
        <v>294.15418</v>
      </c>
      <c r="M181" s="116"/>
      <c r="N181" s="117"/>
      <c r="O181" s="114"/>
      <c r="P181" s="118"/>
      <c r="Q181" s="119"/>
      <c r="R181" s="120"/>
      <c r="S181" s="121"/>
      <c r="T181" s="124"/>
      <c r="U181" s="202" t="s">
        <v>245</v>
      </c>
      <c r="V181" s="56"/>
      <c r="X181" s="8"/>
    </row>
    <row r="182" spans="2:24" x14ac:dyDescent="0.2">
      <c r="B182" s="59"/>
      <c r="C182" s="58" t="s">
        <v>139</v>
      </c>
      <c r="D182" s="105"/>
      <c r="E182" s="106"/>
      <c r="F182" s="108"/>
      <c r="G182" s="109"/>
      <c r="H182" s="107"/>
      <c r="I182" s="10">
        <v>52</v>
      </c>
      <c r="J182" s="9">
        <v>0.108</v>
      </c>
      <c r="K182" s="19">
        <v>1.6900000000000001E-3</v>
      </c>
      <c r="L182" s="13">
        <f>+I182+J182*$D$10+K182*$D$11</f>
        <v>55.203620000000001</v>
      </c>
      <c r="M182" s="116"/>
      <c r="N182" s="117"/>
      <c r="O182" s="114"/>
      <c r="P182" s="118"/>
      <c r="Q182" s="119"/>
      <c r="R182" s="120"/>
      <c r="S182" s="121"/>
      <c r="T182" s="124"/>
      <c r="U182" s="202" t="s">
        <v>245</v>
      </c>
      <c r="V182" s="56"/>
      <c r="X182" s="8"/>
    </row>
    <row r="183" spans="2:24" s="8" customFormat="1" x14ac:dyDescent="0.2">
      <c r="B183" s="59"/>
      <c r="C183" s="58"/>
      <c r="D183" s="41"/>
      <c r="E183" s="42"/>
      <c r="F183" s="43"/>
      <c r="G183" s="44"/>
      <c r="H183" s="45"/>
      <c r="I183" s="49"/>
      <c r="J183" s="43"/>
      <c r="K183" s="60"/>
      <c r="L183" s="45"/>
      <c r="M183" s="46"/>
      <c r="N183" s="48"/>
      <c r="O183" s="49"/>
      <c r="P183" s="50"/>
      <c r="Q183" s="51"/>
      <c r="R183" s="52"/>
      <c r="S183" s="53"/>
      <c r="T183" s="54"/>
      <c r="U183" s="184"/>
      <c r="V183" s="56"/>
    </row>
    <row r="184" spans="2:24" s="8" customFormat="1" x14ac:dyDescent="0.2">
      <c r="B184" s="139" t="s">
        <v>45</v>
      </c>
      <c r="C184" s="58"/>
      <c r="D184" s="145"/>
      <c r="E184" s="42"/>
      <c r="F184" s="43"/>
      <c r="G184" s="44"/>
      <c r="H184" s="45"/>
      <c r="I184" s="49"/>
      <c r="J184" s="43"/>
      <c r="K184" s="60"/>
      <c r="L184" s="45"/>
      <c r="M184" s="46"/>
      <c r="N184" s="48"/>
      <c r="O184" s="49"/>
      <c r="P184" s="50"/>
      <c r="Q184" s="51"/>
      <c r="R184" s="52"/>
      <c r="S184" s="53"/>
      <c r="T184" s="54"/>
      <c r="U184" s="184"/>
      <c r="V184" s="56"/>
    </row>
    <row r="185" spans="2:24" x14ac:dyDescent="0.2">
      <c r="B185" s="59"/>
      <c r="C185" s="58" t="s">
        <v>149</v>
      </c>
      <c r="D185" s="105"/>
      <c r="E185" s="106"/>
      <c r="F185" s="108"/>
      <c r="G185" s="109"/>
      <c r="H185" s="107"/>
      <c r="I185" s="10">
        <v>52.1</v>
      </c>
      <c r="J185" s="9">
        <v>7.7899999999999997E-2</v>
      </c>
      <c r="K185" s="19">
        <v>1.9300000000000001E-3</v>
      </c>
      <c r="L185" s="13">
        <f t="shared" ref="L185:L212" si="6">+I185+J185*$D$10+K185*$D$11</f>
        <v>54.622639999999997</v>
      </c>
      <c r="M185" s="116"/>
      <c r="N185" s="117"/>
      <c r="O185" s="114"/>
      <c r="P185" s="118"/>
      <c r="Q185" s="119"/>
      <c r="R185" s="120"/>
      <c r="S185" s="121"/>
      <c r="T185" s="124"/>
      <c r="U185" s="202" t="s">
        <v>245</v>
      </c>
      <c r="V185" s="56"/>
      <c r="X185" s="8"/>
    </row>
    <row r="186" spans="2:24" x14ac:dyDescent="0.2">
      <c r="B186" s="59"/>
      <c r="C186" s="58" t="s">
        <v>150</v>
      </c>
      <c r="D186" s="105"/>
      <c r="E186" s="106"/>
      <c r="F186" s="108"/>
      <c r="G186" s="109"/>
      <c r="H186" s="107"/>
      <c r="I186" s="10">
        <v>170</v>
      </c>
      <c r="J186" s="9">
        <v>0.34100000000000003</v>
      </c>
      <c r="K186" s="19">
        <v>5.64E-3</v>
      </c>
      <c r="L186" s="13">
        <f t="shared" si="6"/>
        <v>180.20572000000001</v>
      </c>
      <c r="M186" s="116"/>
      <c r="N186" s="117"/>
      <c r="O186" s="114"/>
      <c r="P186" s="118"/>
      <c r="Q186" s="119"/>
      <c r="R186" s="120"/>
      <c r="S186" s="121"/>
      <c r="T186" s="124"/>
      <c r="U186" s="202" t="s">
        <v>245</v>
      </c>
      <c r="V186" s="56"/>
      <c r="X186" s="8"/>
    </row>
    <row r="187" spans="2:24" x14ac:dyDescent="0.2">
      <c r="B187" s="59"/>
      <c r="C187" s="58"/>
      <c r="D187" s="188"/>
      <c r="E187" s="189"/>
      <c r="F187" s="190"/>
      <c r="G187" s="191"/>
      <c r="H187" s="192"/>
      <c r="I187" s="193"/>
      <c r="J187" s="190"/>
      <c r="K187" s="194"/>
      <c r="L187" s="192"/>
      <c r="M187" s="195"/>
      <c r="N187" s="196"/>
      <c r="O187" s="193"/>
      <c r="P187" s="197"/>
      <c r="Q187" s="198"/>
      <c r="R187" s="199"/>
      <c r="S187" s="200"/>
      <c r="T187" s="201"/>
      <c r="U187" s="184"/>
      <c r="V187" s="56"/>
      <c r="X187" s="8"/>
    </row>
    <row r="188" spans="2:24" s="8" customFormat="1" x14ac:dyDescent="0.2">
      <c r="B188" s="139" t="s">
        <v>160</v>
      </c>
      <c r="C188" s="58"/>
      <c r="D188" s="143"/>
      <c r="E188" s="42"/>
      <c r="F188" s="43"/>
      <c r="G188" s="44"/>
      <c r="H188" s="45"/>
      <c r="I188" s="49"/>
      <c r="J188" s="43"/>
      <c r="K188" s="60"/>
      <c r="L188" s="45"/>
      <c r="M188" s="46"/>
      <c r="N188" s="48"/>
      <c r="O188" s="49"/>
      <c r="P188" s="50"/>
      <c r="Q188" s="51"/>
      <c r="R188" s="52"/>
      <c r="S188" s="53"/>
      <c r="T188" s="54"/>
      <c r="U188" s="184"/>
      <c r="V188" s="56"/>
    </row>
    <row r="189" spans="2:24" x14ac:dyDescent="0.2">
      <c r="B189" s="59"/>
      <c r="C189" s="58" t="s">
        <v>151</v>
      </c>
      <c r="D189" s="105"/>
      <c r="E189" s="106"/>
      <c r="F189" s="108"/>
      <c r="G189" s="109"/>
      <c r="H189" s="107"/>
      <c r="I189" s="10">
        <v>133</v>
      </c>
      <c r="J189" s="9">
        <v>0.40100000000000002</v>
      </c>
      <c r="K189" s="19">
        <v>3.0599999999999998E-3</v>
      </c>
      <c r="L189" s="13">
        <f t="shared" si="6"/>
        <v>143.93688</v>
      </c>
      <c r="M189" s="116"/>
      <c r="N189" s="117"/>
      <c r="O189" s="114"/>
      <c r="P189" s="118"/>
      <c r="Q189" s="119"/>
      <c r="R189" s="120"/>
      <c r="S189" s="121"/>
      <c r="T189" s="124"/>
      <c r="U189" s="202" t="s">
        <v>245</v>
      </c>
      <c r="V189" s="56"/>
      <c r="X189" s="8"/>
    </row>
    <row r="190" spans="2:24" x14ac:dyDescent="0.2">
      <c r="B190" s="59"/>
      <c r="C190" s="58" t="s">
        <v>152</v>
      </c>
      <c r="D190" s="105"/>
      <c r="E190" s="106"/>
      <c r="F190" s="108"/>
      <c r="G190" s="109"/>
      <c r="H190" s="107"/>
      <c r="I190" s="10">
        <v>145</v>
      </c>
      <c r="J190" s="9">
        <v>0.45200000000000001</v>
      </c>
      <c r="K190" s="19">
        <v>5.0099999999999997E-3</v>
      </c>
      <c r="L190" s="13">
        <f t="shared" si="6"/>
        <v>157.79298</v>
      </c>
      <c r="M190" s="116"/>
      <c r="N190" s="117"/>
      <c r="O190" s="114"/>
      <c r="P190" s="118"/>
      <c r="Q190" s="119"/>
      <c r="R190" s="120"/>
      <c r="S190" s="121"/>
      <c r="T190" s="124"/>
      <c r="U190" s="202" t="s">
        <v>245</v>
      </c>
      <c r="V190" s="56"/>
      <c r="X190" s="8"/>
    </row>
    <row r="191" spans="2:24" x14ac:dyDescent="0.2">
      <c r="B191" s="59"/>
      <c r="C191" s="58" t="s">
        <v>177</v>
      </c>
      <c r="D191" s="105"/>
      <c r="E191" s="106"/>
      <c r="F191" s="108"/>
      <c r="G191" s="109"/>
      <c r="H191" s="107"/>
      <c r="I191" s="10">
        <v>28.5</v>
      </c>
      <c r="J191" s="9">
        <v>5.79E-2</v>
      </c>
      <c r="K191" s="19">
        <v>2.9299999999999999E-3</v>
      </c>
      <c r="L191" s="13">
        <f t="shared" si="6"/>
        <v>30.820640000000001</v>
      </c>
      <c r="M191" s="116"/>
      <c r="N191" s="117"/>
      <c r="O191" s="114"/>
      <c r="P191" s="118"/>
      <c r="Q191" s="119"/>
      <c r="R191" s="120"/>
      <c r="S191" s="121"/>
      <c r="T191" s="124"/>
      <c r="U191" s="202" t="s">
        <v>245</v>
      </c>
      <c r="V191" s="56"/>
      <c r="X191" s="8"/>
    </row>
    <row r="192" spans="2:24" x14ac:dyDescent="0.2">
      <c r="B192" s="59"/>
      <c r="C192" s="58" t="s">
        <v>153</v>
      </c>
      <c r="D192" s="105"/>
      <c r="E192" s="106"/>
      <c r="F192" s="108"/>
      <c r="G192" s="109"/>
      <c r="H192" s="107"/>
      <c r="I192" s="10">
        <v>159</v>
      </c>
      <c r="J192" s="9">
        <v>0.63600000000000001</v>
      </c>
      <c r="K192" s="19">
        <v>1.3299999999999999E-2</v>
      </c>
      <c r="L192" s="13">
        <f t="shared" si="6"/>
        <v>178.86340000000001</v>
      </c>
      <c r="M192" s="116"/>
      <c r="N192" s="117"/>
      <c r="O192" s="114"/>
      <c r="P192" s="118"/>
      <c r="Q192" s="119"/>
      <c r="R192" s="120"/>
      <c r="S192" s="121"/>
      <c r="T192" s="124"/>
      <c r="U192" s="202" t="s">
        <v>245</v>
      </c>
      <c r="V192" s="56"/>
      <c r="X192" s="8"/>
    </row>
    <row r="193" spans="2:24" x14ac:dyDescent="0.2">
      <c r="B193" s="59"/>
      <c r="C193" s="58" t="s">
        <v>154</v>
      </c>
      <c r="D193" s="105"/>
      <c r="E193" s="106"/>
      <c r="F193" s="108"/>
      <c r="G193" s="109"/>
      <c r="H193" s="107"/>
      <c r="I193" s="10">
        <v>40.700000000000003</v>
      </c>
      <c r="J193" s="9">
        <v>0.13200000000000001</v>
      </c>
      <c r="K193" s="19">
        <v>2.5100000000000001E-3</v>
      </c>
      <c r="L193" s="13">
        <f t="shared" si="6"/>
        <v>44.747979999999998</v>
      </c>
      <c r="M193" s="116"/>
      <c r="N193" s="117"/>
      <c r="O193" s="114"/>
      <c r="P193" s="118"/>
      <c r="Q193" s="119"/>
      <c r="R193" s="120"/>
      <c r="S193" s="121"/>
      <c r="T193" s="124"/>
      <c r="U193" s="202" t="s">
        <v>245</v>
      </c>
      <c r="V193" s="56"/>
      <c r="X193" s="8"/>
    </row>
    <row r="194" spans="2:24" x14ac:dyDescent="0.2">
      <c r="B194" s="59"/>
      <c r="C194" s="58" t="s">
        <v>224</v>
      </c>
      <c r="D194" s="105"/>
      <c r="E194" s="106"/>
      <c r="F194" s="108"/>
      <c r="G194" s="109"/>
      <c r="H194" s="107"/>
      <c r="I194" s="10">
        <v>18.5</v>
      </c>
      <c r="J194" s="9">
        <v>1.5699999999999999E-2</v>
      </c>
      <c r="K194" s="19">
        <v>1.0399999999999999E-3</v>
      </c>
      <c r="L194" s="13">
        <f>+I194+J194*$D$10+K194*$D$11</f>
        <v>19.202419999999996</v>
      </c>
      <c r="M194" s="116"/>
      <c r="N194" s="117"/>
      <c r="O194" s="114"/>
      <c r="P194" s="118"/>
      <c r="Q194" s="119"/>
      <c r="R194" s="120"/>
      <c r="S194" s="121"/>
      <c r="T194" s="124"/>
      <c r="U194" s="202" t="s">
        <v>245</v>
      </c>
      <c r="V194" s="56"/>
      <c r="X194" s="8"/>
    </row>
    <row r="195" spans="2:24" x14ac:dyDescent="0.2">
      <c r="B195" s="59"/>
      <c r="C195" s="58" t="s">
        <v>176</v>
      </c>
      <c r="D195" s="105"/>
      <c r="E195" s="106"/>
      <c r="F195" s="108"/>
      <c r="G195" s="109"/>
      <c r="H195" s="107"/>
      <c r="I195" s="10">
        <v>328</v>
      </c>
      <c r="J195" s="9">
        <v>0.309</v>
      </c>
      <c r="K195" s="19">
        <v>9.0699999999999999E-3</v>
      </c>
      <c r="L195" s="13">
        <f t="shared" si="6"/>
        <v>338.42786000000001</v>
      </c>
      <c r="M195" s="116"/>
      <c r="N195" s="117"/>
      <c r="O195" s="114"/>
      <c r="P195" s="118"/>
      <c r="Q195" s="119"/>
      <c r="R195" s="120"/>
      <c r="S195" s="121"/>
      <c r="T195" s="124"/>
      <c r="U195" s="202" t="s">
        <v>245</v>
      </c>
      <c r="V195" s="56"/>
      <c r="X195" s="8"/>
    </row>
    <row r="196" spans="2:24" x14ac:dyDescent="0.2">
      <c r="B196" s="59"/>
      <c r="C196" s="58" t="s">
        <v>140</v>
      </c>
      <c r="D196" s="105"/>
      <c r="E196" s="106"/>
      <c r="F196" s="108"/>
      <c r="G196" s="109"/>
      <c r="H196" s="107"/>
      <c r="I196" s="10">
        <v>197</v>
      </c>
      <c r="J196" s="9">
        <v>0.29499999999999998</v>
      </c>
      <c r="K196" s="19">
        <v>4.6100000000000004E-3</v>
      </c>
      <c r="L196" s="13">
        <f t="shared" si="6"/>
        <v>205.74878000000001</v>
      </c>
      <c r="M196" s="116"/>
      <c r="N196" s="117"/>
      <c r="O196" s="114"/>
      <c r="P196" s="118"/>
      <c r="Q196" s="119"/>
      <c r="R196" s="120"/>
      <c r="S196" s="121"/>
      <c r="T196" s="124"/>
      <c r="U196" s="202" t="s">
        <v>245</v>
      </c>
      <c r="V196" s="56"/>
      <c r="X196" s="8"/>
    </row>
    <row r="197" spans="2:24" x14ac:dyDescent="0.2">
      <c r="B197" s="59"/>
      <c r="C197" s="58" t="s">
        <v>155</v>
      </c>
      <c r="D197" s="105"/>
      <c r="E197" s="106"/>
      <c r="F197" s="108"/>
      <c r="G197" s="109"/>
      <c r="H197" s="107"/>
      <c r="I197" s="10">
        <v>108</v>
      </c>
      <c r="J197" s="9">
        <v>0.128</v>
      </c>
      <c r="K197" s="19">
        <v>3.14E-3</v>
      </c>
      <c r="L197" s="13">
        <f t="shared" si="6"/>
        <v>112.13572000000001</v>
      </c>
      <c r="M197" s="116"/>
      <c r="N197" s="117"/>
      <c r="O197" s="114"/>
      <c r="P197" s="118"/>
      <c r="Q197" s="119"/>
      <c r="R197" s="120"/>
      <c r="S197" s="121"/>
      <c r="T197" s="124"/>
      <c r="U197" s="202" t="s">
        <v>245</v>
      </c>
      <c r="V197" s="56"/>
      <c r="X197" s="8"/>
    </row>
    <row r="198" spans="2:24" x14ac:dyDescent="0.2">
      <c r="B198" s="59"/>
      <c r="C198" s="58" t="s">
        <v>141</v>
      </c>
      <c r="D198" s="105"/>
      <c r="E198" s="106"/>
      <c r="F198" s="108"/>
      <c r="G198" s="109"/>
      <c r="H198" s="107"/>
      <c r="I198" s="10">
        <v>82.2</v>
      </c>
      <c r="J198" s="9">
        <v>6.6000000000000003E-2</v>
      </c>
      <c r="K198" s="19">
        <v>6.7999999999999996E-3</v>
      </c>
      <c r="L198" s="13">
        <f t="shared" si="6"/>
        <v>85.876400000000004</v>
      </c>
      <c r="M198" s="116"/>
      <c r="N198" s="117"/>
      <c r="O198" s="114"/>
      <c r="P198" s="118"/>
      <c r="Q198" s="119"/>
      <c r="R198" s="120"/>
      <c r="S198" s="121"/>
      <c r="T198" s="124"/>
      <c r="U198" s="202" t="s">
        <v>245</v>
      </c>
      <c r="V198" s="56"/>
      <c r="X198" s="8"/>
    </row>
    <row r="199" spans="2:24" x14ac:dyDescent="0.2">
      <c r="B199" s="59"/>
      <c r="C199" s="58" t="s">
        <v>142</v>
      </c>
      <c r="D199" s="105"/>
      <c r="E199" s="106"/>
      <c r="F199" s="108"/>
      <c r="G199" s="109"/>
      <c r="H199" s="107"/>
      <c r="I199" s="10">
        <v>89.3</v>
      </c>
      <c r="J199" s="9">
        <v>0.112</v>
      </c>
      <c r="K199" s="19">
        <v>2.2100000000000002E-2</v>
      </c>
      <c r="L199" s="13">
        <f t="shared" si="6"/>
        <v>98.6858</v>
      </c>
      <c r="M199" s="116"/>
      <c r="N199" s="117"/>
      <c r="O199" s="114"/>
      <c r="P199" s="118"/>
      <c r="Q199" s="119"/>
      <c r="R199" s="120"/>
      <c r="S199" s="121"/>
      <c r="T199" s="124"/>
      <c r="U199" s="202" t="s">
        <v>245</v>
      </c>
      <c r="V199" s="56"/>
      <c r="X199" s="8"/>
    </row>
    <row r="200" spans="2:24" x14ac:dyDescent="0.2">
      <c r="B200" s="59"/>
      <c r="C200" s="58" t="s">
        <v>143</v>
      </c>
      <c r="D200" s="105"/>
      <c r="E200" s="106"/>
      <c r="F200" s="108"/>
      <c r="G200" s="109"/>
      <c r="H200" s="107"/>
      <c r="I200" s="10">
        <v>213</v>
      </c>
      <c r="J200" s="9">
        <v>0.17</v>
      </c>
      <c r="K200" s="19">
        <v>3.7100000000000002E-3</v>
      </c>
      <c r="L200" s="13">
        <f t="shared" si="6"/>
        <v>218.35558</v>
      </c>
      <c r="M200" s="116"/>
      <c r="N200" s="117"/>
      <c r="O200" s="114"/>
      <c r="P200" s="118"/>
      <c r="Q200" s="119"/>
      <c r="R200" s="120"/>
      <c r="S200" s="121"/>
      <c r="T200" s="124"/>
      <c r="U200" s="202" t="s">
        <v>245</v>
      </c>
      <c r="V200" s="56"/>
      <c r="X200" s="8"/>
    </row>
    <row r="201" spans="2:24" x14ac:dyDescent="0.2">
      <c r="B201" s="59"/>
      <c r="C201" s="58" t="s">
        <v>144</v>
      </c>
      <c r="D201" s="105"/>
      <c r="E201" s="106"/>
      <c r="F201" s="108"/>
      <c r="G201" s="109"/>
      <c r="H201" s="107"/>
      <c r="I201" s="10">
        <v>124</v>
      </c>
      <c r="J201" s="9">
        <v>0.121</v>
      </c>
      <c r="K201" s="19">
        <v>4.0299999999999997E-3</v>
      </c>
      <c r="L201" s="13">
        <f t="shared" si="6"/>
        <v>128.22594000000001</v>
      </c>
      <c r="M201" s="116"/>
      <c r="N201" s="117"/>
      <c r="O201" s="114"/>
      <c r="P201" s="118"/>
      <c r="Q201" s="119"/>
      <c r="R201" s="120"/>
      <c r="S201" s="121"/>
      <c r="T201" s="124"/>
      <c r="U201" s="202" t="s">
        <v>245</v>
      </c>
      <c r="V201" s="56"/>
      <c r="X201" s="8"/>
    </row>
    <row r="202" spans="2:24" x14ac:dyDescent="0.2">
      <c r="B202" s="59"/>
      <c r="C202" s="58" t="s">
        <v>225</v>
      </c>
      <c r="D202" s="105"/>
      <c r="E202" s="106"/>
      <c r="F202" s="108"/>
      <c r="G202" s="109"/>
      <c r="H202" s="107"/>
      <c r="I202" s="10">
        <v>227</v>
      </c>
      <c r="J202" s="9">
        <v>0.182</v>
      </c>
      <c r="K202" s="19">
        <v>7.1700000000000002E-3</v>
      </c>
      <c r="L202" s="13">
        <f t="shared" si="6"/>
        <v>233.68666000000002</v>
      </c>
      <c r="M202" s="116"/>
      <c r="N202" s="117"/>
      <c r="O202" s="114"/>
      <c r="P202" s="118"/>
      <c r="Q202" s="119"/>
      <c r="R202" s="120"/>
      <c r="S202" s="121"/>
      <c r="T202" s="124"/>
      <c r="U202" s="202" t="s">
        <v>245</v>
      </c>
      <c r="V202" s="56"/>
      <c r="X202" s="8"/>
    </row>
    <row r="203" spans="2:24" x14ac:dyDescent="0.2">
      <c r="B203" s="59"/>
      <c r="C203" s="58" t="s">
        <v>145</v>
      </c>
      <c r="D203" s="105"/>
      <c r="E203" s="106"/>
      <c r="F203" s="108"/>
      <c r="G203" s="109"/>
      <c r="H203" s="107"/>
      <c r="I203" s="10">
        <v>157</v>
      </c>
      <c r="J203" s="9">
        <v>0.27900000000000003</v>
      </c>
      <c r="K203" s="19">
        <v>3.63E-3</v>
      </c>
      <c r="L203" s="13">
        <f t="shared" si="6"/>
        <v>165.05673999999999</v>
      </c>
      <c r="M203" s="116"/>
      <c r="N203" s="117"/>
      <c r="O203" s="114"/>
      <c r="P203" s="118"/>
      <c r="Q203" s="119"/>
      <c r="R203" s="120"/>
      <c r="S203" s="121"/>
      <c r="T203" s="124"/>
      <c r="U203" s="202" t="s">
        <v>245</v>
      </c>
      <c r="V203" s="56"/>
      <c r="X203" s="8"/>
    </row>
    <row r="204" spans="2:24" x14ac:dyDescent="0.2">
      <c r="B204" s="59"/>
      <c r="C204" s="58" t="s">
        <v>165</v>
      </c>
      <c r="D204" s="105"/>
      <c r="E204" s="106"/>
      <c r="F204" s="108"/>
      <c r="G204" s="109"/>
      <c r="H204" s="107"/>
      <c r="I204" s="10">
        <v>248</v>
      </c>
      <c r="J204" s="9">
        <v>0.19800000000000001</v>
      </c>
      <c r="K204" s="19">
        <v>4.3099999999999996E-3</v>
      </c>
      <c r="L204" s="13">
        <f t="shared" si="6"/>
        <v>254.23437999999999</v>
      </c>
      <c r="M204" s="116"/>
      <c r="N204" s="117"/>
      <c r="O204" s="114"/>
      <c r="P204" s="118"/>
      <c r="Q204" s="119"/>
      <c r="R204" s="120"/>
      <c r="S204" s="121"/>
      <c r="T204" s="124"/>
      <c r="U204" s="202" t="s">
        <v>245</v>
      </c>
      <c r="V204" s="56"/>
      <c r="X204" s="8"/>
    </row>
    <row r="205" spans="2:24" x14ac:dyDescent="0.2">
      <c r="B205" s="59"/>
      <c r="C205" s="58" t="s">
        <v>146</v>
      </c>
      <c r="D205" s="105"/>
      <c r="E205" s="106"/>
      <c r="F205" s="108"/>
      <c r="G205" s="109"/>
      <c r="H205" s="107"/>
      <c r="I205" s="10">
        <v>142</v>
      </c>
      <c r="J205" s="9">
        <v>0.114</v>
      </c>
      <c r="K205" s="19">
        <v>1.55E-2</v>
      </c>
      <c r="L205" s="13">
        <f t="shared" si="6"/>
        <v>149.46899999999999</v>
      </c>
      <c r="M205" s="116"/>
      <c r="N205" s="117"/>
      <c r="O205" s="114"/>
      <c r="P205" s="118"/>
      <c r="Q205" s="119"/>
      <c r="R205" s="120"/>
      <c r="S205" s="121"/>
      <c r="T205" s="124"/>
      <c r="U205" s="202" t="s">
        <v>245</v>
      </c>
      <c r="V205" s="56"/>
      <c r="X205" s="8"/>
    </row>
    <row r="206" spans="2:24" x14ac:dyDescent="0.2">
      <c r="B206" s="59"/>
      <c r="C206" s="58" t="s">
        <v>147</v>
      </c>
      <c r="D206" s="105"/>
      <c r="E206" s="106"/>
      <c r="F206" s="108"/>
      <c r="G206" s="109"/>
      <c r="H206" s="107"/>
      <c r="I206" s="17">
        <v>106</v>
      </c>
      <c r="J206" s="9">
        <v>6.7299999999999999E-2</v>
      </c>
      <c r="K206" s="19">
        <v>3.0500000000000002E-3</v>
      </c>
      <c r="L206" s="18">
        <f t="shared" si="6"/>
        <v>108.59140000000001</v>
      </c>
      <c r="M206" s="116"/>
      <c r="N206" s="117"/>
      <c r="O206" s="114"/>
      <c r="P206" s="118"/>
      <c r="Q206" s="119"/>
      <c r="R206" s="120"/>
      <c r="S206" s="121"/>
      <c r="T206" s="124"/>
      <c r="U206" s="202" t="s">
        <v>245</v>
      </c>
      <c r="V206" s="56"/>
      <c r="X206" s="8"/>
    </row>
    <row r="207" spans="2:24" x14ac:dyDescent="0.2">
      <c r="B207" s="59"/>
      <c r="C207" s="58" t="s">
        <v>156</v>
      </c>
      <c r="D207" s="105"/>
      <c r="E207" s="106"/>
      <c r="F207" s="108"/>
      <c r="G207" s="109"/>
      <c r="H207" s="107"/>
      <c r="I207" s="10">
        <v>0.375</v>
      </c>
      <c r="J207" s="9">
        <v>1.5399999999999999E-3</v>
      </c>
      <c r="K207" s="19">
        <v>9.7499999999999998E-5</v>
      </c>
      <c r="L207" s="13">
        <f t="shared" si="6"/>
        <v>0.44255499999999998</v>
      </c>
      <c r="M207" s="116"/>
      <c r="N207" s="117"/>
      <c r="O207" s="114"/>
      <c r="P207" s="118"/>
      <c r="Q207" s="119"/>
      <c r="R207" s="120"/>
      <c r="S207" s="121"/>
      <c r="T207" s="124"/>
      <c r="U207" s="202" t="s">
        <v>245</v>
      </c>
      <c r="V207" s="56"/>
      <c r="X207" s="8"/>
    </row>
    <row r="208" spans="2:24" x14ac:dyDescent="0.2">
      <c r="B208" s="59"/>
      <c r="C208" s="58" t="s">
        <v>157</v>
      </c>
      <c r="D208" s="105"/>
      <c r="E208" s="106"/>
      <c r="F208" s="108"/>
      <c r="G208" s="109"/>
      <c r="H208" s="107"/>
      <c r="I208" s="10">
        <v>94.9</v>
      </c>
      <c r="J208" s="9">
        <v>0.27100000000000002</v>
      </c>
      <c r="K208" s="19">
        <v>2.4499999999999999E-3</v>
      </c>
      <c r="L208" s="13">
        <f t="shared" si="6"/>
        <v>102.4051</v>
      </c>
      <c r="M208" s="116"/>
      <c r="N208" s="117"/>
      <c r="O208" s="114"/>
      <c r="P208" s="118"/>
      <c r="Q208" s="119"/>
      <c r="R208" s="120"/>
      <c r="S208" s="121"/>
      <c r="T208" s="124"/>
      <c r="U208" s="202" t="s">
        <v>245</v>
      </c>
      <c r="V208" s="56"/>
      <c r="X208" s="8"/>
    </row>
    <row r="209" spans="2:25" x14ac:dyDescent="0.2">
      <c r="B209" s="59"/>
      <c r="C209" s="58" t="s">
        <v>148</v>
      </c>
      <c r="D209" s="105"/>
      <c r="E209" s="106"/>
      <c r="F209" s="108"/>
      <c r="G209" s="109"/>
      <c r="H209" s="107"/>
      <c r="I209" s="10">
        <v>228</v>
      </c>
      <c r="J209" s="9">
        <v>0.28000000000000003</v>
      </c>
      <c r="K209" s="19">
        <v>1.99E-3</v>
      </c>
      <c r="L209" s="13">
        <f t="shared" si="6"/>
        <v>235.59302</v>
      </c>
      <c r="M209" s="116"/>
      <c r="N209" s="117"/>
      <c r="O209" s="114"/>
      <c r="P209" s="118"/>
      <c r="Q209" s="119"/>
      <c r="R209" s="120"/>
      <c r="S209" s="121"/>
      <c r="T209" s="124"/>
      <c r="U209" s="202" t="s">
        <v>245</v>
      </c>
      <c r="V209" s="56"/>
      <c r="X209" s="8"/>
    </row>
    <row r="210" spans="2:25" x14ac:dyDescent="0.2">
      <c r="B210" s="59"/>
      <c r="C210" s="58" t="s">
        <v>158</v>
      </c>
      <c r="D210" s="105"/>
      <c r="E210" s="106"/>
      <c r="F210" s="108"/>
      <c r="G210" s="109"/>
      <c r="H210" s="107"/>
      <c r="I210" s="10">
        <v>96.9</v>
      </c>
      <c r="J210" s="9">
        <v>7.8E-2</v>
      </c>
      <c r="K210" s="19">
        <v>6.1399999999999996E-3</v>
      </c>
      <c r="L210" s="13">
        <f t="shared" si="6"/>
        <v>100.67972</v>
      </c>
      <c r="M210" s="116"/>
      <c r="N210" s="117"/>
      <c r="O210" s="114"/>
      <c r="P210" s="118"/>
      <c r="Q210" s="119"/>
      <c r="R210" s="120"/>
      <c r="S210" s="121"/>
      <c r="T210" s="124"/>
      <c r="U210" s="202" t="s">
        <v>245</v>
      </c>
      <c r="V210" s="56"/>
      <c r="X210" s="8"/>
    </row>
    <row r="211" spans="2:25" x14ac:dyDescent="0.2">
      <c r="B211" s="59"/>
      <c r="C211" s="58" t="s">
        <v>159</v>
      </c>
      <c r="D211" s="105"/>
      <c r="E211" s="106"/>
      <c r="F211" s="108"/>
      <c r="G211" s="109"/>
      <c r="H211" s="107"/>
      <c r="I211" s="10">
        <v>91.5</v>
      </c>
      <c r="J211" s="9">
        <v>0.17</v>
      </c>
      <c r="K211" s="19">
        <v>1.3500000000000001E-3</v>
      </c>
      <c r="L211" s="13">
        <f t="shared" si="6"/>
        <v>96.152299999999997</v>
      </c>
      <c r="M211" s="116"/>
      <c r="N211" s="117"/>
      <c r="O211" s="114"/>
      <c r="P211" s="118"/>
      <c r="Q211" s="119"/>
      <c r="R211" s="120"/>
      <c r="S211" s="121"/>
      <c r="T211" s="124"/>
      <c r="U211" s="202" t="s">
        <v>245</v>
      </c>
      <c r="V211" s="56"/>
      <c r="X211" s="8"/>
    </row>
    <row r="212" spans="2:25" x14ac:dyDescent="0.2">
      <c r="B212" s="59"/>
      <c r="C212" s="92" t="s">
        <v>161</v>
      </c>
      <c r="D212" s="105"/>
      <c r="E212" s="106"/>
      <c r="F212" s="110"/>
      <c r="G212" s="111"/>
      <c r="H212" s="112"/>
      <c r="I212" s="30">
        <v>283.48241538176086</v>
      </c>
      <c r="J212" s="31">
        <v>0.27075895526151428</v>
      </c>
      <c r="K212" s="33">
        <v>5.0984808994435698E-3</v>
      </c>
      <c r="L212" s="32">
        <f t="shared" si="6"/>
        <v>291.77073657133292</v>
      </c>
      <c r="M212" s="116"/>
      <c r="N212" s="117"/>
      <c r="O212" s="114"/>
      <c r="P212" s="118"/>
      <c r="Q212" s="119"/>
      <c r="R212" s="120"/>
      <c r="S212" s="121"/>
      <c r="T212" s="124"/>
      <c r="U212" s="202" t="s">
        <v>245</v>
      </c>
      <c r="V212" s="56"/>
      <c r="X212" s="8"/>
    </row>
    <row r="213" spans="2:25" s="8" customFormat="1" x14ac:dyDescent="0.2">
      <c r="B213" s="59"/>
      <c r="C213" s="58"/>
      <c r="D213" s="41"/>
      <c r="E213" s="42"/>
      <c r="F213" s="43"/>
      <c r="G213" s="44"/>
      <c r="H213" s="45"/>
      <c r="I213" s="49"/>
      <c r="J213" s="43"/>
      <c r="K213" s="60"/>
      <c r="L213" s="45"/>
      <c r="M213" s="46"/>
      <c r="N213" s="48"/>
      <c r="O213" s="49"/>
      <c r="P213" s="50"/>
      <c r="Q213" s="51"/>
      <c r="R213" s="52"/>
      <c r="S213" s="53"/>
      <c r="T213" s="54"/>
      <c r="U213" s="55"/>
      <c r="V213" s="56"/>
      <c r="X213" s="1"/>
      <c r="Y213" s="1"/>
    </row>
    <row r="214" spans="2:25" s="8" customFormat="1" x14ac:dyDescent="0.2">
      <c r="B214" s="59" t="s">
        <v>170</v>
      </c>
      <c r="C214" s="58"/>
      <c r="D214" s="41"/>
      <c r="E214" s="42"/>
      <c r="F214" s="43"/>
      <c r="G214" s="44"/>
      <c r="H214" s="45"/>
      <c r="I214" s="49"/>
      <c r="J214" s="43"/>
      <c r="K214" s="60"/>
      <c r="L214" s="45"/>
      <c r="M214" s="46"/>
      <c r="N214" s="48"/>
      <c r="O214" s="49"/>
      <c r="P214" s="50"/>
      <c r="Q214" s="51"/>
      <c r="R214" s="52"/>
      <c r="S214" s="53"/>
      <c r="T214" s="54"/>
      <c r="U214" s="55"/>
      <c r="V214" s="56"/>
    </row>
    <row r="215" spans="2:25" x14ac:dyDescent="0.2">
      <c r="B215" s="59"/>
      <c r="C215" s="58" t="s">
        <v>171</v>
      </c>
      <c r="D215" s="105"/>
      <c r="E215" s="106"/>
      <c r="F215" s="108"/>
      <c r="G215" s="109"/>
      <c r="H215" s="113"/>
      <c r="I215" s="114"/>
      <c r="J215" s="108"/>
      <c r="K215" s="115"/>
      <c r="L215" s="107"/>
      <c r="M215" s="116"/>
      <c r="N215" s="117"/>
      <c r="O215" s="114"/>
      <c r="P215" s="118"/>
      <c r="Q215" s="119"/>
      <c r="R215" s="120"/>
      <c r="S215" s="121"/>
      <c r="T215" s="124">
        <v>15.74</v>
      </c>
      <c r="U215" s="55" t="s">
        <v>246</v>
      </c>
      <c r="V215" s="56"/>
    </row>
    <row r="216" spans="2:25" s="8" customFormat="1" ht="13.5" thickBot="1" x14ac:dyDescent="0.25">
      <c r="B216" s="125"/>
      <c r="C216" s="126"/>
      <c r="D216" s="127"/>
      <c r="E216" s="128"/>
      <c r="F216" s="129"/>
      <c r="G216" s="130"/>
      <c r="H216" s="131"/>
      <c r="I216" s="132"/>
      <c r="J216" s="129"/>
      <c r="K216" s="133"/>
      <c r="L216" s="131"/>
      <c r="M216" s="134"/>
      <c r="N216" s="135"/>
      <c r="O216" s="132"/>
      <c r="P216" s="136"/>
      <c r="Q216" s="134"/>
      <c r="R216" s="133"/>
      <c r="S216" s="137"/>
      <c r="T216" s="138"/>
      <c r="U216" s="148"/>
      <c r="V216" s="56"/>
    </row>
    <row r="217" spans="2:25" x14ac:dyDescent="0.2">
      <c r="V217" s="149"/>
    </row>
    <row r="218" spans="2:25" x14ac:dyDescent="0.2">
      <c r="P218" s="35"/>
    </row>
    <row r="219" spans="2:25" x14ac:dyDescent="0.2">
      <c r="U219" s="38"/>
    </row>
    <row r="220" spans="2:25" x14ac:dyDescent="0.2">
      <c r="U220" s="38"/>
    </row>
  </sheetData>
  <mergeCells count="5">
    <mergeCell ref="B4:C4"/>
    <mergeCell ref="R4:T4"/>
    <mergeCell ref="E5:L5"/>
    <mergeCell ref="M5:N5"/>
    <mergeCell ref="R5:T5"/>
  </mergeCells>
  <phoneticPr fontId="0" type="noConversion"/>
  <conditionalFormatting sqref="T216 D7:U7 Q85:T100 Q13:T56 Q103:T213 Q214:S216 T214 D8 G8:U12">
    <cfRule type="cellIs" dxfId="7" priority="10" stopIfTrue="1" operator="equal">
      <formula>"N.A."</formula>
    </cfRule>
  </conditionalFormatting>
  <conditionalFormatting sqref="Q101:T101">
    <cfRule type="cellIs" dxfId="6" priority="9" stopIfTrue="1" operator="equal">
      <formula>"N.A."</formula>
    </cfRule>
  </conditionalFormatting>
  <conditionalFormatting sqref="Q102:T102">
    <cfRule type="cellIs" dxfId="5" priority="8" stopIfTrue="1" operator="equal">
      <formula>"N.A."</formula>
    </cfRule>
  </conditionalFormatting>
  <conditionalFormatting sqref="Q57:T84">
    <cfRule type="cellIs" dxfId="4" priority="7" stopIfTrue="1" operator="equal">
      <formula>"N.A."</formula>
    </cfRule>
  </conditionalFormatting>
  <conditionalFormatting sqref="T215">
    <cfRule type="cellIs" dxfId="3" priority="6" stopIfTrue="1" operator="equal">
      <formula>"N.A."</formula>
    </cfRule>
  </conditionalFormatting>
  <conditionalFormatting sqref="F8">
    <cfRule type="cellIs" dxfId="2" priority="4" stopIfTrue="1" operator="equal">
      <formula>"N.A."</formula>
    </cfRule>
  </conditionalFormatting>
  <conditionalFormatting sqref="F9:F10">
    <cfRule type="cellIs" dxfId="1" priority="2" stopIfTrue="1" operator="equal">
      <formula>"N.A."</formula>
    </cfRule>
  </conditionalFormatting>
  <conditionalFormatting sqref="F11:F12">
    <cfRule type="cellIs" dxfId="0" priority="1" stopIfTrue="1" operator="equal">
      <formula>"N.A."</formula>
    </cfRule>
  </conditionalFormatting>
  <pageMargins left="0.78740157499999996" right="0.78740157499999996" top="0.984251969" bottom="0.984251969" header="0.5" footer="0.5"/>
  <pageSetup paperSize="9" scale="37" fitToHeight="2" orientation="landscape" r:id="rId1"/>
  <headerFooter alignWithMargins="0"/>
  <ignoredErrors>
    <ignoredError sqref="G28" unlockedFormula="1"/>
  </ignoredErrors>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Blad1</vt:lpstr>
      <vt:lpstr>Blad1!dataset1662metaInformation</vt:lpstr>
    </vt:vector>
  </TitlesOfParts>
  <Company>SenterNovem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sbu</dc:creator>
  <cp:lastModifiedBy>Henning Kage</cp:lastModifiedBy>
  <cp:lastPrinted>2011-01-26T15:36:33Z</cp:lastPrinted>
  <dcterms:created xsi:type="dcterms:W3CDTF">2010-10-06T14:08:47Z</dcterms:created>
  <dcterms:modified xsi:type="dcterms:W3CDTF">2022-09-30T14:08:45Z</dcterms:modified>
</cp:coreProperties>
</file>